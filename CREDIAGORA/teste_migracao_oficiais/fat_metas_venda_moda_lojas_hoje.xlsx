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CREDIAGORA\Desktop\workspace\Automacoes\crediagora\CREDIAGORA\teste_migracao_oficiais\"/>
    </mc:Choice>
  </mc:AlternateContent>
  <xr:revisionPtr revIDLastSave="0" documentId="13_ncr:1_{41B00864-D7F3-402C-8D11-82E45F8A2664}" xr6:coauthVersionLast="47" xr6:coauthVersionMax="47" xr10:uidLastSave="{00000000-0000-0000-0000-000000000000}"/>
  <bookViews>
    <workbookView xWindow="5316" yWindow="4056" windowWidth="13836" windowHeight="7968" xr2:uid="{8E47A5CF-CF99-4C53-84E9-B0BB5F4D1E77}"/>
  </bookViews>
  <sheets>
    <sheet name="base" sheetId="1" r:id="rId1"/>
    <sheet name="Venda_Lojas_Hoje" sheetId="2" r:id="rId2"/>
    <sheet name="venda_lojas_hoje_dia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" l="1"/>
  <c r="G26" i="1"/>
  <c r="C27" i="1"/>
  <c r="E25" i="1"/>
  <c r="E24" i="1"/>
  <c r="E23" i="1"/>
  <c r="E22" i="1"/>
  <c r="E21" i="1"/>
  <c r="E20" i="1"/>
  <c r="E19" i="1"/>
  <c r="E18" i="1"/>
  <c r="B18" i="1" l="1"/>
  <c r="D18" i="1" s="1"/>
  <c r="B19" i="1"/>
  <c r="B20" i="1"/>
  <c r="B21" i="1"/>
  <c r="B22" i="1"/>
  <c r="B23" i="1"/>
  <c r="B24" i="1"/>
  <c r="B25" i="1"/>
  <c r="F24" i="1"/>
  <c r="F23" i="1"/>
  <c r="F22" i="1"/>
  <c r="F21" i="1"/>
  <c r="F20" i="1"/>
  <c r="F19" i="1"/>
  <c r="F18" i="1"/>
  <c r="E27" i="1" l="1"/>
  <c r="G18" i="1"/>
  <c r="G19" i="1"/>
  <c r="G20" i="1"/>
  <c r="G21" i="1"/>
  <c r="G22" i="1"/>
  <c r="G23" i="1"/>
  <c r="G24" i="1"/>
  <c r="F10" i="2"/>
  <c r="H3" i="2"/>
  <c r="H4" i="2"/>
  <c r="H5" i="2"/>
  <c r="H6" i="2"/>
  <c r="H7" i="2"/>
  <c r="H8" i="2"/>
  <c r="H9" i="2"/>
  <c r="H10" i="2"/>
  <c r="H2" i="2"/>
  <c r="F3" i="2"/>
  <c r="F4" i="2"/>
  <c r="F5" i="2"/>
  <c r="F6" i="2"/>
  <c r="F7" i="2"/>
  <c r="F8" i="2"/>
  <c r="F9" i="2"/>
  <c r="F2" i="2"/>
  <c r="I10" i="1" l="1"/>
  <c r="C3" i="2"/>
  <c r="C4" i="2"/>
  <c r="C5" i="2"/>
  <c r="C6" i="2"/>
  <c r="C7" i="2"/>
  <c r="C8" i="2"/>
  <c r="C9" i="2"/>
  <c r="C10" i="2"/>
  <c r="G10" i="2" s="1"/>
  <c r="A19" i="1"/>
  <c r="B27" i="1" l="1"/>
  <c r="L10" i="1"/>
  <c r="F10" i="1" l="1"/>
  <c r="C29" i="1" s="1"/>
  <c r="G2" i="3"/>
  <c r="D24" i="1" l="1"/>
  <c r="D22" i="1"/>
  <c r="D23" i="1"/>
  <c r="D19" i="1"/>
  <c r="D20" i="1"/>
  <c r="D21" i="1"/>
  <c r="D25" i="1"/>
  <c r="F11" i="1" l="1"/>
  <c r="G11" i="1" l="1"/>
  <c r="E10" i="1"/>
  <c r="E11" i="1" l="1"/>
  <c r="D10" i="1"/>
  <c r="H10" i="1" s="1"/>
  <c r="L11" i="1"/>
  <c r="J10" i="1" l="1"/>
  <c r="J11" i="1" s="1"/>
  <c r="F11" i="2" s="1"/>
  <c r="H11" i="1"/>
  <c r="D11" i="1"/>
  <c r="F2" i="3" s="1"/>
  <c r="B29" i="1"/>
  <c r="I11" i="1"/>
  <c r="D28" i="1"/>
  <c r="A27" i="1"/>
  <c r="D29" i="1" l="1"/>
  <c r="D27" i="1"/>
  <c r="C2" i="3"/>
  <c r="A25" i="1"/>
  <c r="A18" i="1"/>
  <c r="B2" i="3"/>
  <c r="A24" i="1"/>
  <c r="A22" i="1"/>
  <c r="A23" i="1"/>
  <c r="A20" i="1"/>
  <c r="A21" i="1"/>
  <c r="B11" i="2"/>
  <c r="D3" i="2"/>
  <c r="D4" i="2"/>
  <c r="D5" i="2"/>
  <c r="D6" i="2"/>
  <c r="D7" i="2"/>
  <c r="D8" i="2"/>
  <c r="D9" i="2"/>
  <c r="D10" i="2"/>
  <c r="E10" i="2" s="1"/>
  <c r="D2" i="2"/>
  <c r="C2" i="2"/>
  <c r="C11" i="2" s="1"/>
  <c r="B3" i="2"/>
  <c r="B4" i="2"/>
  <c r="B5" i="2"/>
  <c r="B6" i="2"/>
  <c r="B7" i="2"/>
  <c r="B8" i="2"/>
  <c r="B9" i="2"/>
  <c r="B10" i="2"/>
  <c r="B2" i="2"/>
  <c r="D11" i="2" l="1"/>
  <c r="G11" i="2"/>
  <c r="D2" i="3"/>
  <c r="E2" i="2"/>
  <c r="E8" i="2"/>
  <c r="E7" i="2"/>
  <c r="E9" i="2"/>
  <c r="E6" i="2"/>
  <c r="G7" i="2"/>
  <c r="G3" i="2"/>
  <c r="G8" i="2"/>
  <c r="E5" i="2"/>
  <c r="G6" i="2"/>
  <c r="G5" i="2"/>
  <c r="G4" i="2"/>
  <c r="G2" i="2"/>
  <c r="G9" i="2"/>
  <c r="E4" i="2"/>
  <c r="E3" i="2"/>
  <c r="E2" i="3" l="1"/>
  <c r="E11" i="2"/>
  <c r="F25" i="1" l="1"/>
  <c r="F27" i="1" l="1"/>
  <c r="G25" i="1"/>
  <c r="G27" i="1" s="1"/>
</calcChain>
</file>

<file path=xl/sharedStrings.xml><?xml version="1.0" encoding="utf-8"?>
<sst xmlns="http://schemas.openxmlformats.org/spreadsheetml/2006/main" count="49" uniqueCount="45">
  <si>
    <t>Local</t>
  </si>
  <si>
    <t>Dias Úteis</t>
  </si>
  <si>
    <t>Dias Dec.</t>
  </si>
  <si>
    <t>Vlr Total Meta</t>
  </si>
  <si>
    <t>Vlr Desafio</t>
  </si>
  <si>
    <t>Vlr Liq. Realiz.</t>
  </si>
  <si>
    <t>% Sob. Total</t>
  </si>
  <si>
    <t>% Ating Meta</t>
  </si>
  <si>
    <t>Vlr Proj. Loc.</t>
  </si>
  <si>
    <t>% Proj.</t>
  </si>
  <si>
    <t>% Mrg</t>
  </si>
  <si>
    <t>Falta na Meta/Dia</t>
  </si>
  <si>
    <t>05-TUC</t>
  </si>
  <si>
    <t>13-GMI</t>
  </si>
  <si>
    <t>16-DMC</t>
  </si>
  <si>
    <t>17-RGO</t>
  </si>
  <si>
    <t>Total</t>
  </si>
  <si>
    <t>Grand Total</t>
  </si>
  <si>
    <t>Meta dia</t>
  </si>
  <si>
    <t>Venda dia</t>
  </si>
  <si>
    <t>% Realizado</t>
  </si>
  <si>
    <t>Meta mês</t>
  </si>
  <si>
    <t>Venda mês</t>
  </si>
  <si>
    <t>Total geral</t>
  </si>
  <si>
    <t>AnoMes</t>
  </si>
  <si>
    <t>Loja</t>
  </si>
  <si>
    <t>Meta - Volume</t>
  </si>
  <si>
    <t>Realizado - Volume</t>
  </si>
  <si>
    <t>% Realizado - Volume</t>
  </si>
  <si>
    <t>% Projeção</t>
  </si>
  <si>
    <t>R$ Projeção</t>
  </si>
  <si>
    <t>%</t>
  </si>
  <si>
    <t>Meta_Dia</t>
  </si>
  <si>
    <t>Realizado_Dia</t>
  </si>
  <si>
    <t>% Realizado_dia</t>
  </si>
  <si>
    <t>GAP_Dia</t>
  </si>
  <si>
    <t>GAT_Total_Mes</t>
  </si>
  <si>
    <t>01-SCR</t>
  </si>
  <si>
    <t>09-SPM</t>
  </si>
  <si>
    <t>10-CMI</t>
  </si>
  <si>
    <t>11-CAT</t>
  </si>
  <si>
    <t>99 - MTZ</t>
  </si>
  <si>
    <t>SFS Moda do Mês</t>
  </si>
  <si>
    <t>Encargos</t>
  </si>
  <si>
    <t>Venda dia + Encargos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</si>
</sst>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rgb="FF111111"/>
      <name val="Arial"/>
      <family val="2"/>
    </font>
    <font>
      <b/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1">
    <xf numFmtId="0" fontId="0" fillId="0" borderId="0" xfId="0"/>
    <xf numFmtId="0" fontId="19" fillId="33" borderId="0" xfId="0" applyFont="1" applyFill="1" applyAlignment="1">
      <alignment horizontal="center" vertical="center" wrapText="1"/>
    </xf>
    <xf numFmtId="4" fontId="18" fillId="33" borderId="0" xfId="0" applyNumberFormat="1" applyFont="1" applyFill="1" applyAlignment="1">
      <alignment wrapText="1"/>
    </xf>
    <xf numFmtId="0" fontId="16" fillId="33" borderId="0" xfId="0" applyFont="1" applyFill="1"/>
    <xf numFmtId="0" fontId="0" fillId="0" borderId="0" xfId="0" quotePrefix="1"/>
    <xf numFmtId="0" fontId="16" fillId="33" borderId="0" xfId="0" applyFont="1" applyFill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43" fontId="0" fillId="0" borderId="0" xfId="43" applyFont="1" applyAlignment="1">
      <alignment horizontal="center"/>
    </xf>
    <xf numFmtId="4" fontId="0" fillId="34" borderId="0" xfId="0" applyNumberFormat="1" applyFill="1" applyAlignment="1">
      <alignment horizontal="center"/>
    </xf>
    <xf numFmtId="4" fontId="0" fillId="0" borderId="0" xfId="0" applyNumberFormat="1"/>
    <xf numFmtId="0" fontId="16" fillId="35" borderId="10" xfId="0" applyFont="1" applyFill="1" applyBorder="1" applyAlignment="1">
      <alignment horizontal="center"/>
    </xf>
    <xf numFmtId="4" fontId="0" fillId="0" borderId="10" xfId="0" applyNumberFormat="1" applyBorder="1" applyAlignment="1">
      <alignment horizontal="center"/>
    </xf>
    <xf numFmtId="4" fontId="16" fillId="35" borderId="10" xfId="0" applyNumberFormat="1" applyFont="1" applyFill="1" applyBorder="1" applyAlignment="1">
      <alignment horizontal="center"/>
    </xf>
    <xf numFmtId="10" fontId="16" fillId="35" borderId="10" xfId="1" applyNumberFormat="1" applyFont="1" applyFill="1" applyBorder="1" applyAlignment="1">
      <alignment horizontal="center"/>
    </xf>
    <xf numFmtId="4" fontId="0" fillId="0" borderId="10" xfId="44" applyNumberFormat="1" applyFont="1" applyBorder="1" applyAlignment="1">
      <alignment horizontal="center"/>
    </xf>
    <xf numFmtId="4" fontId="16" fillId="0" borderId="10" xfId="0" applyNumberFormat="1" applyFont="1" applyBorder="1" applyAlignment="1">
      <alignment horizontal="center"/>
    </xf>
    <xf numFmtId="4" fontId="16" fillId="0" borderId="10" xfId="44" applyNumberFormat="1" applyFont="1" applyBorder="1" applyAlignment="1">
      <alignment horizontal="center"/>
    </xf>
    <xf numFmtId="10" fontId="16" fillId="0" borderId="10" xfId="1" applyNumberFormat="1" applyFont="1" applyBorder="1" applyAlignment="1">
      <alignment horizontal="center"/>
    </xf>
    <xf numFmtId="10" fontId="19" fillId="33" borderId="0" xfId="1" applyNumberFormat="1" applyFont="1" applyFill="1" applyAlignment="1">
      <alignment horizontal="center" vertical="center" wrapText="1"/>
    </xf>
    <xf numFmtId="10" fontId="0" fillId="0" borderId="0" xfId="1" applyNumberFormat="1" applyFont="1"/>
    <xf numFmtId="9" fontId="0" fillId="0" borderId="0" xfId="1" applyFont="1"/>
    <xf numFmtId="43" fontId="0" fillId="0" borderId="0" xfId="43" applyFont="1"/>
    <xf numFmtId="10" fontId="0" fillId="0" borderId="0" xfId="0" applyNumberFormat="1" applyAlignment="1">
      <alignment horizontal="center"/>
    </xf>
    <xf numFmtId="10" fontId="0" fillId="0" borderId="0" xfId="0" applyNumberFormat="1"/>
    <xf numFmtId="44" fontId="0" fillId="0" borderId="0" xfId="44" applyFont="1"/>
    <xf numFmtId="0" fontId="16" fillId="35" borderId="11" xfId="0" applyFont="1" applyFill="1" applyBorder="1" applyAlignment="1">
      <alignment horizontal="center"/>
    </xf>
    <xf numFmtId="10" fontId="0" fillId="0" borderId="11" xfId="1" applyNumberFormat="1" applyFont="1" applyBorder="1" applyAlignment="1">
      <alignment horizontal="center"/>
    </xf>
    <xf numFmtId="10" fontId="16" fillId="35" borderId="11" xfId="1" applyNumberFormat="1" applyFont="1" applyFill="1" applyBorder="1" applyAlignment="1">
      <alignment horizontal="center"/>
    </xf>
    <xf numFmtId="43" fontId="0" fillId="0" borderId="11" xfId="44" applyNumberFormat="1" applyFont="1" applyBorder="1" applyAlignment="1">
      <alignment horizontal="center"/>
    </xf>
    <xf numFmtId="43" fontId="16" fillId="35" borderId="11" xfId="44" applyNumberFormat="1" applyFont="1" applyFill="1" applyBorder="1" applyAlignment="1">
      <alignment horizontal="center"/>
    </xf>
    <xf numFmtId="0" fontId="21" fillId="35" borderId="11" xfId="0" applyFont="1" applyFill="1" applyBorder="1" applyAlignment="1">
      <alignment horizontal="center"/>
    </xf>
    <xf numFmtId="43" fontId="0" fillId="0" borderId="10" xfId="44" applyNumberFormat="1" applyFont="1" applyBorder="1" applyAlignment="1">
      <alignment horizontal="center"/>
    </xf>
    <xf numFmtId="0" fontId="21" fillId="35" borderId="10" xfId="0" applyFont="1" applyFill="1" applyBorder="1" applyAlignment="1">
      <alignment horizontal="center"/>
    </xf>
    <xf numFmtId="0" fontId="16" fillId="35" borderId="10" xfId="0" applyFont="1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44" fontId="16" fillId="35" borderId="10" xfId="44" applyFont="1" applyFill="1" applyBorder="1" applyAlignment="1">
      <alignment horizontal="center"/>
    </xf>
    <xf numFmtId="43" fontId="16" fillId="35" borderId="10" xfId="44" applyNumberFormat="1" applyFont="1" applyFill="1" applyBorder="1" applyAlignment="1">
      <alignment horizontal="center"/>
    </xf>
    <xf numFmtId="10" fontId="18" fillId="33" borderId="0" xfId="1" applyNumberFormat="1" applyFont="1" applyFill="1" applyAlignment="1">
      <alignment horizontal="center" wrapText="1"/>
    </xf>
    <xf numFmtId="9" fontId="18" fillId="33" borderId="0" xfId="1" applyFont="1" applyFill="1" applyAlignment="1">
      <alignment horizontal="center" wrapText="1"/>
    </xf>
    <xf numFmtId="4" fontId="18" fillId="33" borderId="0" xfId="0" applyNumberFormat="1" applyFont="1" applyFill="1" applyAlignment="1">
      <alignment horizontal="center" wrapText="1"/>
    </xf>
    <xf numFmtId="10" fontId="0" fillId="33" borderId="0" xfId="1" applyNumberFormat="1" applyFont="1" applyFill="1" applyAlignment="1">
      <alignment horizontal="center" wrapText="1"/>
    </xf>
    <xf numFmtId="10" fontId="18" fillId="33" borderId="0" xfId="0" applyNumberFormat="1" applyFont="1" applyFill="1" applyAlignment="1">
      <alignment horizontal="center" wrapText="1"/>
    </xf>
    <xf numFmtId="4" fontId="20" fillId="0" borderId="0" xfId="0" applyNumberFormat="1" applyFont="1" applyAlignment="1">
      <alignment horizontal="center"/>
    </xf>
    <xf numFmtId="4" fontId="0" fillId="36" borderId="0" xfId="0" applyNumberFormat="1" applyFill="1" applyAlignment="1">
      <alignment horizontal="center"/>
    </xf>
    <xf numFmtId="44" fontId="0" fillId="0" borderId="0" xfId="0" applyNumberFormat="1" applyAlignment="1">
      <alignment horizontal="center"/>
    </xf>
    <xf numFmtId="0" fontId="18" fillId="33" borderId="0" xfId="0" applyFont="1" applyFill="1" applyAlignment="1">
      <alignment horizontal="center" wrapText="1"/>
    </xf>
    <xf numFmtId="0" fontId="0" fillId="33" borderId="0" xfId="0" applyFill="1" applyAlignment="1">
      <alignment horizontal="center" wrapText="1"/>
    </xf>
    <xf numFmtId="0" fontId="16" fillId="0" borderId="10" xfId="0" applyFont="1" applyBorder="1" applyAlignment="1">
      <alignment horizontal="center"/>
    </xf>
    <xf numFmtId="9" fontId="0" fillId="0" borderId="0" xfId="1" applyFont="1" applyAlignment="1">
      <alignment horizontal="center"/>
    </xf>
  </cellXfs>
  <cellStyles count="45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44" builtinId="4"/>
    <cellStyle name="Neutro" xfId="9" builtinId="28" customBuiltin="1"/>
    <cellStyle name="Normal" xfId="0" builtinId="0"/>
    <cellStyle name="Nota" xfId="16" builtinId="10" customBuiltin="1"/>
    <cellStyle name="Porcentagem" xfId="1" builtinId="5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  <cellStyle name="Vírgula" xfId="43" builtinId="3"/>
  </cellStyles>
  <dxfs count="6">
    <dxf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numFmt numFmtId="35" formatCode="_-* #,##0.00_-;\-* #,##0.00_-;_-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jipromotora.sharepoint.com/sites/Crediagora-doc/Data%20Science/dados/tabela%20fat/Venda%20L&#237;quida%20de%20Todos%20os%20Locais%20BI%20novo.xlsx" TargetMode="External"/><Relationship Id="rId1" Type="http://schemas.openxmlformats.org/officeDocument/2006/relationships/externalLinkPath" Target="https://tjipromotora.sharepoint.com/sites/Crediagora-doc/Data%20Science/dados/tabela%20fat/Venda%20L&#237;quida%20de%20Todos%20os%20Locais%20BI%20nov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a"/>
      <sheetName val="P Eliane"/>
      <sheetName val="P Andreia"/>
      <sheetName val="P ANDREIA NOVO"/>
      <sheetName val="FECHAMENTO MÊS"/>
    </sheetNames>
    <sheetDataSet>
      <sheetData sheetId="0"/>
      <sheetData sheetId="1">
        <row r="2">
          <cell r="H2">
            <v>426.6</v>
          </cell>
          <cell r="I2">
            <v>0</v>
          </cell>
        </row>
        <row r="3">
          <cell r="H3">
            <v>1790.88</v>
          </cell>
          <cell r="I3">
            <v>2217.0300000000002</v>
          </cell>
        </row>
        <row r="4">
          <cell r="H4">
            <v>0</v>
          </cell>
          <cell r="I4">
            <v>0</v>
          </cell>
        </row>
        <row r="5">
          <cell r="H5">
            <v>1573.08</v>
          </cell>
          <cell r="I5">
            <v>1985.97</v>
          </cell>
        </row>
        <row r="6">
          <cell r="H6">
            <v>1912.32</v>
          </cell>
          <cell r="I6">
            <v>1156.7</v>
          </cell>
        </row>
        <row r="7">
          <cell r="H7">
            <v>399.96</v>
          </cell>
          <cell r="I7">
            <v>3061.07</v>
          </cell>
        </row>
        <row r="8">
          <cell r="H8">
            <v>1280.4000000000001</v>
          </cell>
          <cell r="I8">
            <v>2546.92</v>
          </cell>
        </row>
        <row r="9">
          <cell r="H9">
            <v>2584.08</v>
          </cell>
          <cell r="I9">
            <v>5163.12</v>
          </cell>
        </row>
      </sheetData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2903B1-0E59-4536-970C-4678A69847BB}" name="Tabela1" displayName="Tabela1" ref="E17:G27" totalsRowShown="0" headerRowDxfId="5" dataDxfId="4" tableBorderDxfId="3" dataCellStyle="Moeda">
  <tableColumns count="3">
    <tableColumn id="4" xr3:uid="{1D3F6120-8B86-4B5F-8A1B-AC0BB3536896}" name="SFS Moda do Mês" dataDxfId="2" dataCellStyle="Moeda">
      <calculatedColumnFormula>SUM(E10:E16)</calculatedColumnFormula>
    </tableColumn>
    <tableColumn id="1" xr3:uid="{2BDE9B95-4D71-4E83-901D-21816F7715E9}" name="Encargos" dataDxfId="1" dataCellStyle="Moeda"/>
    <tableColumn id="2" xr3:uid="{27AA0AE4-7977-4C39-9E63-225C4DE6CD9B}" name="Venda dia + Encargos" dataDxfId="0" dataCellStyle="Moeda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0">
    <wetp:webextensionref xmlns:r="http://schemas.openxmlformats.org/officeDocument/2006/relationships" r:id="rId1"/>
  </wetp:taskpane>
  <wetp:taskpane dockstate="right" visibility="0" width="350" row="11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4C3D7084-1147-4734-9299-2F09D605996A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6cb4438e-3482-40a7-8295-4595fd247b46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101603C4-7D02-45CB-B646-8966A6940E48}">
  <we:reference id="WA200010215" version="2.0.0.0" store="Omex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BCEE6-284B-4F3F-B0DE-6B3253A66BED}">
  <sheetPr codeName="Planilha1"/>
  <dimension ref="A1:O36"/>
  <sheetViews>
    <sheetView showGridLines="0" tabSelected="1" zoomScale="85" zoomScaleNormal="85" workbookViewId="0">
      <selection activeCell="H21" sqref="H21"/>
    </sheetView>
  </sheetViews>
  <sheetFormatPr defaultRowHeight="14.4" x14ac:dyDescent="0.3"/>
  <cols>
    <col min="1" max="1" width="10.109375" style="6" bestFit="1" customWidth="1"/>
    <col min="2" max="2" width="13.33203125" style="6" bestFit="1" customWidth="1"/>
    <col min="3" max="3" width="11.6640625" style="6" bestFit="1" customWidth="1"/>
    <col min="4" max="4" width="12.21875" bestFit="1" customWidth="1"/>
    <col min="5" max="5" width="16.88671875" style="6" bestFit="1" customWidth="1"/>
    <col min="6" max="6" width="12.109375" style="6" bestFit="1" customWidth="1"/>
    <col min="7" max="7" width="22" style="8" bestFit="1" customWidth="1"/>
    <col min="8" max="8" width="13.44140625" style="6" bestFit="1" customWidth="1"/>
    <col min="9" max="9" width="11.33203125" style="6" bestFit="1" customWidth="1"/>
    <col min="10" max="10" width="13.44140625" style="8" bestFit="1" customWidth="1"/>
    <col min="11" max="11" width="9.6640625" style="6" bestFit="1" customWidth="1"/>
    <col min="12" max="12" width="15.33203125" style="6" bestFit="1" customWidth="1"/>
    <col min="14" max="14" width="10.44140625" bestFit="1" customWidth="1"/>
  </cols>
  <sheetData>
    <row r="1" spans="1:15" ht="24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0" t="s">
        <v>6</v>
      </c>
      <c r="H1" s="1" t="s">
        <v>7</v>
      </c>
      <c r="I1" s="1" t="s">
        <v>8</v>
      </c>
      <c r="J1" s="20" t="s">
        <v>9</v>
      </c>
      <c r="K1" s="1" t="s">
        <v>10</v>
      </c>
      <c r="L1" s="1" t="s">
        <v>11</v>
      </c>
    </row>
    <row r="2" spans="1:15" x14ac:dyDescent="0.3">
      <c r="A2" s="47" t="s">
        <v>37</v>
      </c>
      <c r="B2" s="47">
        <v>26</v>
      </c>
      <c r="C2" s="47">
        <v>15</v>
      </c>
      <c r="D2" s="2">
        <v>135500</v>
      </c>
      <c r="E2" s="41">
        <v>149050</v>
      </c>
      <c r="F2" s="41">
        <v>57487.37</v>
      </c>
      <c r="G2" s="39">
        <v>0.12759999999999999</v>
      </c>
      <c r="H2" s="39">
        <v>0.42430000000000001</v>
      </c>
      <c r="I2" s="41">
        <v>99644.77</v>
      </c>
      <c r="J2" s="39">
        <v>0.73540000000000005</v>
      </c>
      <c r="K2" s="39">
        <v>0.50609999999999999</v>
      </c>
      <c r="L2" s="41">
        <v>7092.06</v>
      </c>
    </row>
    <row r="3" spans="1:15" x14ac:dyDescent="0.3">
      <c r="A3" s="47" t="s">
        <v>12</v>
      </c>
      <c r="B3" s="47">
        <v>26</v>
      </c>
      <c r="C3" s="47">
        <v>15</v>
      </c>
      <c r="D3" s="2">
        <v>119900</v>
      </c>
      <c r="E3" s="41">
        <v>131890</v>
      </c>
      <c r="F3" s="41">
        <v>40548.43</v>
      </c>
      <c r="G3" s="39">
        <v>0.09</v>
      </c>
      <c r="H3" s="39">
        <v>0.3382</v>
      </c>
      <c r="I3" s="41">
        <v>70283.95</v>
      </c>
      <c r="J3" s="39">
        <v>0.58619999999999994</v>
      </c>
      <c r="K3" s="39">
        <v>0.5383</v>
      </c>
      <c r="L3" s="41">
        <v>7213.78</v>
      </c>
      <c r="N3" s="26"/>
      <c r="O3" s="21"/>
    </row>
    <row r="4" spans="1:15" x14ac:dyDescent="0.3">
      <c r="A4" s="47" t="s">
        <v>38</v>
      </c>
      <c r="B4" s="47">
        <v>26</v>
      </c>
      <c r="C4" s="47">
        <v>15</v>
      </c>
      <c r="D4" s="2">
        <v>119900</v>
      </c>
      <c r="E4" s="41">
        <v>131890</v>
      </c>
      <c r="F4" s="41">
        <v>30913.45</v>
      </c>
      <c r="G4" s="39">
        <v>6.8600000000000008E-2</v>
      </c>
      <c r="H4" s="39">
        <v>0.25780000000000003</v>
      </c>
      <c r="I4" s="41">
        <v>53583.31</v>
      </c>
      <c r="J4" s="39">
        <v>0.44689999999999996</v>
      </c>
      <c r="K4" s="39">
        <v>0.54899999999999993</v>
      </c>
      <c r="L4" s="41">
        <v>8089.69</v>
      </c>
    </row>
    <row r="5" spans="1:15" x14ac:dyDescent="0.3">
      <c r="A5" s="47" t="s">
        <v>39</v>
      </c>
      <c r="B5" s="47">
        <v>26</v>
      </c>
      <c r="C5" s="47">
        <v>15</v>
      </c>
      <c r="D5" s="2">
        <v>135500</v>
      </c>
      <c r="E5" s="41">
        <v>149050</v>
      </c>
      <c r="F5" s="41">
        <v>69107.539999999994</v>
      </c>
      <c r="G5" s="39">
        <v>0.15340000000000001</v>
      </c>
      <c r="H5" s="39">
        <v>0.51</v>
      </c>
      <c r="I5" s="41">
        <v>119786.4</v>
      </c>
      <c r="J5" s="39">
        <v>0.88400000000000001</v>
      </c>
      <c r="K5" s="39">
        <v>0.49200000000000005</v>
      </c>
      <c r="L5" s="41">
        <v>6035.68</v>
      </c>
      <c r="N5" s="22"/>
    </row>
    <row r="6" spans="1:15" x14ac:dyDescent="0.3">
      <c r="A6" s="47" t="s">
        <v>40</v>
      </c>
      <c r="B6" s="47">
        <v>26</v>
      </c>
      <c r="C6" s="47">
        <v>15</v>
      </c>
      <c r="D6" s="2">
        <v>172500</v>
      </c>
      <c r="E6" s="41">
        <v>189750</v>
      </c>
      <c r="F6" s="41">
        <v>90156.39</v>
      </c>
      <c r="G6" s="39">
        <v>0.20010000000000003</v>
      </c>
      <c r="H6" s="39">
        <v>0.52259999999999995</v>
      </c>
      <c r="I6" s="41">
        <v>156271.07999999999</v>
      </c>
      <c r="J6" s="39">
        <v>0.90590000000000004</v>
      </c>
      <c r="K6" s="39">
        <v>0.53689999999999993</v>
      </c>
      <c r="L6" s="41">
        <v>7485.78</v>
      </c>
    </row>
    <row r="7" spans="1:15" x14ac:dyDescent="0.3">
      <c r="A7" s="47" t="s">
        <v>13</v>
      </c>
      <c r="B7" s="47">
        <v>26</v>
      </c>
      <c r="C7" s="47">
        <v>15</v>
      </c>
      <c r="D7" s="2">
        <v>119900</v>
      </c>
      <c r="E7" s="41">
        <v>131890</v>
      </c>
      <c r="F7" s="41">
        <v>42182.57</v>
      </c>
      <c r="G7" s="39">
        <v>9.3599999999999989E-2</v>
      </c>
      <c r="H7" s="39">
        <v>0.3518</v>
      </c>
      <c r="I7" s="41">
        <v>73116.45</v>
      </c>
      <c r="J7" s="39">
        <v>0.60980000000000001</v>
      </c>
      <c r="K7" s="39">
        <v>0.52129999999999999</v>
      </c>
      <c r="L7" s="41">
        <v>7065.22</v>
      </c>
    </row>
    <row r="8" spans="1:15" x14ac:dyDescent="0.3">
      <c r="A8" s="47" t="s">
        <v>14</v>
      </c>
      <c r="B8" s="47">
        <v>26</v>
      </c>
      <c r="C8" s="47">
        <v>15</v>
      </c>
      <c r="D8" s="2">
        <v>128900</v>
      </c>
      <c r="E8" s="41">
        <v>141790</v>
      </c>
      <c r="F8" s="41">
        <v>51810.79</v>
      </c>
      <c r="G8" s="39">
        <v>0.115</v>
      </c>
      <c r="H8" s="39">
        <v>0.40189999999999998</v>
      </c>
      <c r="I8" s="41">
        <v>89805.37</v>
      </c>
      <c r="J8" s="39">
        <v>0.69669999999999999</v>
      </c>
      <c r="K8" s="39">
        <v>0.53990000000000005</v>
      </c>
      <c r="L8" s="41">
        <v>7008.11</v>
      </c>
    </row>
    <row r="9" spans="1:15" x14ac:dyDescent="0.3">
      <c r="A9" s="47" t="s">
        <v>15</v>
      </c>
      <c r="B9" s="47">
        <v>26</v>
      </c>
      <c r="C9" s="47">
        <v>15</v>
      </c>
      <c r="D9" s="2">
        <v>159900</v>
      </c>
      <c r="E9" s="41">
        <v>175890</v>
      </c>
      <c r="F9" s="41">
        <v>68396.61</v>
      </c>
      <c r="G9" s="39">
        <v>0.15179999999999999</v>
      </c>
      <c r="H9" s="39">
        <v>0.42770000000000002</v>
      </c>
      <c r="I9" s="41">
        <v>118554.12</v>
      </c>
      <c r="J9" s="39">
        <v>0.74140000000000006</v>
      </c>
      <c r="K9" s="39">
        <v>0.51519999999999999</v>
      </c>
      <c r="L9" s="41">
        <v>8318.49</v>
      </c>
    </row>
    <row r="10" spans="1:15" x14ac:dyDescent="0.3">
      <c r="A10" s="47" t="s">
        <v>16</v>
      </c>
      <c r="B10" s="48"/>
      <c r="C10" s="48"/>
      <c r="D10" s="2">
        <f>SUM(D2:D9)</f>
        <v>1092000</v>
      </c>
      <c r="E10" s="41">
        <f>SUM(E2:E9)</f>
        <v>1201200</v>
      </c>
      <c r="F10" s="41">
        <f>SUM(F2:F9)</f>
        <v>450603.14999999997</v>
      </c>
      <c r="G10" s="40">
        <v>1</v>
      </c>
      <c r="H10" s="42">
        <f>F10/D10</f>
        <v>0.41264024725274723</v>
      </c>
      <c r="I10" s="41">
        <f>SUM(I2:I9)</f>
        <v>781045.45</v>
      </c>
      <c r="J10" s="42">
        <f>I10/D10</f>
        <v>0.71524308608058607</v>
      </c>
      <c r="K10" s="43"/>
      <c r="L10" s="41">
        <f>SUM(L2:L9)</f>
        <v>58308.81</v>
      </c>
    </row>
    <row r="11" spans="1:15" ht="27.6" x14ac:dyDescent="0.3">
      <c r="A11" s="47" t="s">
        <v>17</v>
      </c>
      <c r="B11" s="48"/>
      <c r="C11" s="48"/>
      <c r="D11" s="2">
        <f>D10</f>
        <v>1092000</v>
      </c>
      <c r="E11" s="41">
        <f t="shared" ref="E11:J11" si="0">E10</f>
        <v>1201200</v>
      </c>
      <c r="F11" s="41">
        <f t="shared" si="0"/>
        <v>450603.14999999997</v>
      </c>
      <c r="G11" s="40">
        <f t="shared" si="0"/>
        <v>1</v>
      </c>
      <c r="H11" s="42">
        <f t="shared" si="0"/>
        <v>0.41264024725274723</v>
      </c>
      <c r="I11" s="41">
        <f t="shared" si="0"/>
        <v>781045.45</v>
      </c>
      <c r="J11" s="39">
        <f t="shared" si="0"/>
        <v>0.71524308608058607</v>
      </c>
      <c r="K11" s="43"/>
      <c r="L11" s="41">
        <f>L10</f>
        <v>58308.81</v>
      </c>
    </row>
    <row r="13" spans="1:15" x14ac:dyDescent="0.3">
      <c r="F13" s="45"/>
      <c r="I13" s="7"/>
    </row>
    <row r="16" spans="1:15" x14ac:dyDescent="0.3">
      <c r="I16" s="44"/>
    </row>
    <row r="17" spans="1:11" x14ac:dyDescent="0.3">
      <c r="A17" s="35" t="s">
        <v>0</v>
      </c>
      <c r="B17" s="12" t="s">
        <v>18</v>
      </c>
      <c r="C17" s="12" t="s">
        <v>19</v>
      </c>
      <c r="D17" s="27" t="s">
        <v>20</v>
      </c>
      <c r="E17" s="34" t="s">
        <v>42</v>
      </c>
      <c r="F17" s="32" t="s">
        <v>43</v>
      </c>
      <c r="G17" s="32" t="s">
        <v>44</v>
      </c>
      <c r="H17" s="8"/>
      <c r="J17" s="6"/>
      <c r="K17" s="8"/>
    </row>
    <row r="18" spans="1:11" ht="15" customHeight="1" x14ac:dyDescent="0.3">
      <c r="A18" s="36" t="str">
        <f>A3</f>
        <v>05-TUC</v>
      </c>
      <c r="B18" s="13">
        <f>L3</f>
        <v>7213.78</v>
      </c>
      <c r="C18" s="16">
        <v>1968.84</v>
      </c>
      <c r="D18" s="28">
        <f>C18/B18</f>
        <v>0.27292764680930109</v>
      </c>
      <c r="E18" s="30">
        <f>'[1]P Eliane'!$I$3</f>
        <v>2217.0300000000002</v>
      </c>
      <c r="F18" s="30">
        <f>'[1]P Eliane'!$H$3</f>
        <v>1790.88</v>
      </c>
      <c r="G18" s="30">
        <f t="shared" ref="G18:G26" si="1">SUM(F18,C18)</f>
        <v>3759.7200000000003</v>
      </c>
      <c r="H18" s="8"/>
      <c r="J18" s="6"/>
      <c r="K18" s="8"/>
    </row>
    <row r="19" spans="1:11" x14ac:dyDescent="0.3">
      <c r="A19" s="36" t="str">
        <f>A7</f>
        <v>13-GMI</v>
      </c>
      <c r="B19" s="13">
        <f>L7</f>
        <v>7065.22</v>
      </c>
      <c r="C19" s="16">
        <v>2812.71</v>
      </c>
      <c r="D19" s="28">
        <f t="shared" ref="D19:D25" si="2">C19/B19</f>
        <v>0.3981064991606772</v>
      </c>
      <c r="E19" s="30">
        <f>'[1]P Eliane'!$I$7</f>
        <v>3061.07</v>
      </c>
      <c r="F19" s="30">
        <f>'[1]P Eliane'!$H$7</f>
        <v>399.96</v>
      </c>
      <c r="G19" s="30">
        <f t="shared" si="1"/>
        <v>3212.67</v>
      </c>
      <c r="H19" s="8"/>
      <c r="J19" s="6"/>
      <c r="K19" s="8"/>
    </row>
    <row r="20" spans="1:11" x14ac:dyDescent="0.3">
      <c r="A20" s="36" t="str">
        <f>A8</f>
        <v>16-DMC</v>
      </c>
      <c r="B20" s="13">
        <f>L8</f>
        <v>7008.11</v>
      </c>
      <c r="C20" s="16">
        <v>2156.61</v>
      </c>
      <c r="D20" s="28">
        <f t="shared" si="2"/>
        <v>0.30773061495895471</v>
      </c>
      <c r="E20" s="30">
        <f>'[1]P Eliane'!$I$8</f>
        <v>2546.92</v>
      </c>
      <c r="F20" s="30">
        <f>'[1]P Eliane'!$H$8</f>
        <v>1280.4000000000001</v>
      </c>
      <c r="G20" s="30">
        <f t="shared" si="1"/>
        <v>3437.01</v>
      </c>
      <c r="H20" s="8"/>
      <c r="J20" s="6"/>
      <c r="K20" s="8"/>
    </row>
    <row r="21" spans="1:11" x14ac:dyDescent="0.3">
      <c r="A21" s="36" t="str">
        <f>A9</f>
        <v>17-RGO</v>
      </c>
      <c r="B21" s="13">
        <f>L9</f>
        <v>8318.49</v>
      </c>
      <c r="C21" s="16">
        <v>4765.3900000000003</v>
      </c>
      <c r="D21" s="28">
        <f t="shared" si="2"/>
        <v>0.57286719104068173</v>
      </c>
      <c r="E21" s="30">
        <f>'[1]P Eliane'!$I$9</f>
        <v>5163.12</v>
      </c>
      <c r="F21" s="30">
        <f>'[1]P Eliane'!$H$9</f>
        <v>2584.08</v>
      </c>
      <c r="G21" s="30">
        <f t="shared" si="1"/>
        <v>7349.47</v>
      </c>
      <c r="H21" s="8"/>
      <c r="J21" s="6"/>
      <c r="K21" s="8"/>
    </row>
    <row r="22" spans="1:11" x14ac:dyDescent="0.3">
      <c r="A22" s="36" t="str">
        <f>A5</f>
        <v>10-CMI</v>
      </c>
      <c r="B22" s="13">
        <f>L5</f>
        <v>6035.68</v>
      </c>
      <c r="C22" s="16">
        <v>3045.48</v>
      </c>
      <c r="D22" s="28">
        <f t="shared" si="2"/>
        <v>0.50457943429737828</v>
      </c>
      <c r="E22" s="30">
        <f>'[1]P Eliane'!$I$5</f>
        <v>1985.97</v>
      </c>
      <c r="F22" s="30">
        <f>'[1]P Eliane'!$H$5</f>
        <v>1573.08</v>
      </c>
      <c r="G22" s="30">
        <f t="shared" si="1"/>
        <v>4618.5599999999995</v>
      </c>
      <c r="H22" s="8"/>
      <c r="J22" s="6"/>
      <c r="K22" s="8"/>
    </row>
    <row r="23" spans="1:11" x14ac:dyDescent="0.3">
      <c r="A23" s="36" t="str">
        <f>A6</f>
        <v>11-CAT</v>
      </c>
      <c r="B23" s="13">
        <f>L6</f>
        <v>7485.78</v>
      </c>
      <c r="C23" s="16">
        <v>6491.14</v>
      </c>
      <c r="D23" s="28">
        <f t="shared" si="2"/>
        <v>0.86712941069601301</v>
      </c>
      <c r="E23" s="30">
        <f>'[1]P Eliane'!$I$6</f>
        <v>1156.7</v>
      </c>
      <c r="F23" s="30">
        <f>'[1]P Eliane'!$H$6</f>
        <v>1912.32</v>
      </c>
      <c r="G23" s="30">
        <f t="shared" si="1"/>
        <v>8403.4600000000009</v>
      </c>
      <c r="H23" s="8"/>
      <c r="J23" s="6"/>
      <c r="K23" s="8"/>
    </row>
    <row r="24" spans="1:11" x14ac:dyDescent="0.3">
      <c r="A24" s="36" t="str">
        <f>A4</f>
        <v>09-SPM</v>
      </c>
      <c r="B24" s="13">
        <f>L4</f>
        <v>8089.69</v>
      </c>
      <c r="C24" s="16">
        <v>1681.05</v>
      </c>
      <c r="D24" s="28">
        <f t="shared" si="2"/>
        <v>0.20780153504027968</v>
      </c>
      <c r="E24" s="30">
        <f>'[1]P Eliane'!$I$4</f>
        <v>0</v>
      </c>
      <c r="F24" s="30">
        <f>'[1]P Eliane'!$H$4</f>
        <v>0</v>
      </c>
      <c r="G24" s="30">
        <f t="shared" si="1"/>
        <v>1681.05</v>
      </c>
      <c r="H24" s="8"/>
      <c r="J24" s="6"/>
      <c r="K24" s="8"/>
    </row>
    <row r="25" spans="1:11" ht="15" customHeight="1" x14ac:dyDescent="0.3">
      <c r="A25" s="36" t="str">
        <f>A2</f>
        <v>01-SCR</v>
      </c>
      <c r="B25" s="13">
        <f>L2</f>
        <v>7092.06</v>
      </c>
      <c r="C25" s="16">
        <v>4478.92</v>
      </c>
      <c r="D25" s="28">
        <f t="shared" si="2"/>
        <v>0.63154006029277809</v>
      </c>
      <c r="E25" s="30">
        <f>'[1]P Eliane'!$I$2</f>
        <v>0</v>
      </c>
      <c r="F25" s="30">
        <f>'[1]P Eliane'!$H$2</f>
        <v>426.6</v>
      </c>
      <c r="G25" s="30">
        <f t="shared" si="1"/>
        <v>4905.5200000000004</v>
      </c>
      <c r="H25" s="8"/>
      <c r="J25" s="6"/>
      <c r="K25" s="8"/>
    </row>
    <row r="26" spans="1:11" hidden="1" x14ac:dyDescent="0.3">
      <c r="A26" s="36" t="s">
        <v>41</v>
      </c>
      <c r="B26" s="13"/>
      <c r="C26" s="16">
        <v>0</v>
      </c>
      <c r="D26" s="28">
        <f>IFERROR(C26/B26,0)</f>
        <v>0</v>
      </c>
      <c r="E26" s="33"/>
      <c r="F26" s="30"/>
      <c r="G26" s="30">
        <f t="shared" si="1"/>
        <v>0</v>
      </c>
      <c r="H26" s="8"/>
      <c r="J26" s="6"/>
      <c r="K26" s="8"/>
    </row>
    <row r="27" spans="1:11" x14ac:dyDescent="0.3">
      <c r="A27" s="35" t="str">
        <f>A10</f>
        <v>Total</v>
      </c>
      <c r="B27" s="37">
        <f>SUM(B18:B25)</f>
        <v>58308.81</v>
      </c>
      <c r="C27" s="14">
        <f>SUM(C18:C25)</f>
        <v>27400.14</v>
      </c>
      <c r="D27" s="29">
        <f>C27/B27</f>
        <v>0.4699142376597979</v>
      </c>
      <c r="E27" s="38">
        <f>SUM(E18:E25)</f>
        <v>16130.81</v>
      </c>
      <c r="F27" s="31">
        <f>SUM(F18:F25)</f>
        <v>9967.32</v>
      </c>
      <c r="G27" s="31">
        <f>SUM(G18:G25)</f>
        <v>37367.46</v>
      </c>
      <c r="H27" s="8"/>
      <c r="J27" s="6"/>
      <c r="K27" s="8"/>
    </row>
    <row r="28" spans="1:11" x14ac:dyDescent="0.3">
      <c r="A28" s="49"/>
      <c r="B28" s="17" t="s">
        <v>21</v>
      </c>
      <c r="C28" s="18" t="s">
        <v>22</v>
      </c>
      <c r="D28" s="19" t="str">
        <f>D17</f>
        <v>% Realizado</v>
      </c>
      <c r="F28" s="7"/>
    </row>
    <row r="29" spans="1:11" x14ac:dyDescent="0.3">
      <c r="A29" s="12" t="s">
        <v>23</v>
      </c>
      <c r="B29" s="14">
        <f>D10</f>
        <v>1092000</v>
      </c>
      <c r="C29" s="14">
        <f>C27+F10</f>
        <v>478003.29</v>
      </c>
      <c r="D29" s="15">
        <f>C29/B29</f>
        <v>0.43773195054945052</v>
      </c>
      <c r="E29" s="7"/>
      <c r="F29" s="7"/>
    </row>
    <row r="30" spans="1:11" x14ac:dyDescent="0.3">
      <c r="C30" s="7"/>
      <c r="E30" s="7"/>
      <c r="F30" s="7"/>
    </row>
    <row r="31" spans="1:11" x14ac:dyDescent="0.3">
      <c r="C31" s="7"/>
      <c r="G31" s="6"/>
    </row>
    <row r="32" spans="1:11" x14ac:dyDescent="0.3">
      <c r="C32" s="9"/>
    </row>
    <row r="33" spans="3:5" x14ac:dyDescent="0.3">
      <c r="C33" s="7"/>
      <c r="D33" s="23"/>
      <c r="E33" s="7"/>
    </row>
    <row r="36" spans="3:5" x14ac:dyDescent="0.3">
      <c r="C36" s="50"/>
      <c r="E36" s="46"/>
    </row>
  </sheetData>
  <pageMargins left="0.78740157499999996" right="0.78740157499999996" top="0.984251969" bottom="0.984251969" header="0.4921259845" footer="0.4921259845"/>
  <pageSetup paperSize="9" orientation="portrait" r:id="rId1"/>
  <ignoredErrors>
    <ignoredError sqref="D28" formula="1"/>
    <ignoredError sqref="C27" formulaRange="1"/>
    <ignoredError sqref="D27" formula="1" formulaRange="1"/>
    <ignoredError sqref="E18:E25 E27" calculatedColumn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EEB27-A465-4119-9560-12374EF1A85A}">
  <sheetPr codeName="Planilha2"/>
  <dimension ref="A1:H11"/>
  <sheetViews>
    <sheetView showGridLines="0" workbookViewId="0">
      <pane ySplit="1" topLeftCell="A2" activePane="bottomLeft" state="frozen"/>
      <selection pane="bottomLeft" activeCell="G13" sqref="G13"/>
    </sheetView>
  </sheetViews>
  <sheetFormatPr defaultRowHeight="14.4" x14ac:dyDescent="0.3"/>
  <cols>
    <col min="2" max="2" width="8.88671875" style="6"/>
    <col min="3" max="3" width="14.44140625" style="6" customWidth="1"/>
    <col min="4" max="4" width="17.33203125" style="6" bestFit="1" customWidth="1"/>
    <col min="5" max="5" width="19.33203125" style="6" bestFit="1" customWidth="1"/>
    <col min="6" max="6" width="17.33203125" style="6" customWidth="1"/>
    <col min="7" max="7" width="15" style="6" bestFit="1" customWidth="1"/>
    <col min="8" max="8" width="11.44140625" customWidth="1"/>
  </cols>
  <sheetData>
    <row r="1" spans="1:8" x14ac:dyDescent="0.3">
      <c r="A1" s="3" t="s">
        <v>24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30</v>
      </c>
      <c r="H1" s="5" t="s">
        <v>31</v>
      </c>
    </row>
    <row r="2" spans="1:8" x14ac:dyDescent="0.3">
      <c r="A2" s="4">
        <v>202610</v>
      </c>
      <c r="B2" s="6" t="str">
        <f>base!A2</f>
        <v>01-SCR</v>
      </c>
      <c r="C2" s="7">
        <f>base!D2</f>
        <v>135500</v>
      </c>
      <c r="D2" s="7">
        <f>base!F2</f>
        <v>57487.37</v>
      </c>
      <c r="E2" s="8">
        <f>D2/C2</f>
        <v>0.42426103321033215</v>
      </c>
      <c r="F2" s="24">
        <f>(base!J2)</f>
        <v>0.73540000000000005</v>
      </c>
      <c r="G2" s="9">
        <f>C2*F2</f>
        <v>99646.700000000012</v>
      </c>
      <c r="H2" s="25">
        <f>base!K2</f>
        <v>0.50609999999999999</v>
      </c>
    </row>
    <row r="3" spans="1:8" x14ac:dyDescent="0.3">
      <c r="A3" s="4">
        <v>202610</v>
      </c>
      <c r="B3" s="6" t="str">
        <f>base!A3</f>
        <v>05-TUC</v>
      </c>
      <c r="C3" s="7">
        <f>base!D3</f>
        <v>119900</v>
      </c>
      <c r="D3" s="7">
        <f>base!F3</f>
        <v>40548.43</v>
      </c>
      <c r="E3" s="8">
        <f t="shared" ref="E3:E10" si="0">D3/C3</f>
        <v>0.33818540450375312</v>
      </c>
      <c r="F3" s="24">
        <f>(base!J3)</f>
        <v>0.58619999999999994</v>
      </c>
      <c r="G3" s="9">
        <f t="shared" ref="G3:G10" si="1">C3*F3</f>
        <v>70285.37999999999</v>
      </c>
      <c r="H3" s="25">
        <f>base!K3</f>
        <v>0.5383</v>
      </c>
    </row>
    <row r="4" spans="1:8" x14ac:dyDescent="0.3">
      <c r="A4" s="4">
        <v>202610</v>
      </c>
      <c r="B4" s="6" t="str">
        <f>base!A4</f>
        <v>09-SPM</v>
      </c>
      <c r="C4" s="7">
        <f>base!D4</f>
        <v>119900</v>
      </c>
      <c r="D4" s="7">
        <f>base!F4</f>
        <v>30913.45</v>
      </c>
      <c r="E4" s="8">
        <f t="shared" si="0"/>
        <v>0.25782693911592997</v>
      </c>
      <c r="F4" s="24">
        <f>(base!J4)</f>
        <v>0.44689999999999996</v>
      </c>
      <c r="G4" s="9">
        <f t="shared" si="1"/>
        <v>53583.31</v>
      </c>
      <c r="H4" s="25">
        <f>base!K4</f>
        <v>0.54899999999999993</v>
      </c>
    </row>
    <row r="5" spans="1:8" x14ac:dyDescent="0.3">
      <c r="A5" s="4">
        <v>202610</v>
      </c>
      <c r="B5" s="6" t="str">
        <f>base!A5</f>
        <v>10-CMI</v>
      </c>
      <c r="C5" s="7">
        <f>base!D5</f>
        <v>135500</v>
      </c>
      <c r="D5" s="7">
        <f>base!F5</f>
        <v>69107.539999999994</v>
      </c>
      <c r="E5" s="8">
        <f t="shared" si="0"/>
        <v>0.51001874538745384</v>
      </c>
      <c r="F5" s="24">
        <f>(base!J5)</f>
        <v>0.88400000000000001</v>
      </c>
      <c r="G5" s="9">
        <f t="shared" si="1"/>
        <v>119782</v>
      </c>
      <c r="H5" s="25">
        <f>base!K5</f>
        <v>0.49200000000000005</v>
      </c>
    </row>
    <row r="6" spans="1:8" x14ac:dyDescent="0.3">
      <c r="A6" s="4">
        <v>202610</v>
      </c>
      <c r="B6" s="6" t="str">
        <f>base!A6</f>
        <v>11-CAT</v>
      </c>
      <c r="C6" s="7">
        <f>base!D6</f>
        <v>172500</v>
      </c>
      <c r="D6" s="7">
        <f>base!F6</f>
        <v>90156.39</v>
      </c>
      <c r="E6" s="8">
        <f t="shared" si="0"/>
        <v>0.52264573913043477</v>
      </c>
      <c r="F6" s="24">
        <f>(base!J6)</f>
        <v>0.90590000000000004</v>
      </c>
      <c r="G6" s="9">
        <f t="shared" si="1"/>
        <v>156267.75</v>
      </c>
      <c r="H6" s="25">
        <f>base!K6</f>
        <v>0.53689999999999993</v>
      </c>
    </row>
    <row r="7" spans="1:8" x14ac:dyDescent="0.3">
      <c r="A7" s="4">
        <v>202610</v>
      </c>
      <c r="B7" s="6" t="str">
        <f>base!A7</f>
        <v>13-GMI</v>
      </c>
      <c r="C7" s="7">
        <f>base!D7</f>
        <v>119900</v>
      </c>
      <c r="D7" s="7">
        <f>base!F7</f>
        <v>42182.57</v>
      </c>
      <c r="E7" s="8">
        <f t="shared" si="0"/>
        <v>0.35181459549624688</v>
      </c>
      <c r="F7" s="24">
        <f>(base!J7)</f>
        <v>0.60980000000000001</v>
      </c>
      <c r="G7" s="9">
        <f t="shared" si="1"/>
        <v>73115.02</v>
      </c>
      <c r="H7" s="25">
        <f>base!K7</f>
        <v>0.52129999999999999</v>
      </c>
    </row>
    <row r="8" spans="1:8" x14ac:dyDescent="0.3">
      <c r="A8" s="4">
        <v>202610</v>
      </c>
      <c r="B8" s="6" t="str">
        <f>base!A8</f>
        <v>16-DMC</v>
      </c>
      <c r="C8" s="7">
        <f>base!D8</f>
        <v>128900</v>
      </c>
      <c r="D8" s="7">
        <f>base!F8</f>
        <v>51810.79</v>
      </c>
      <c r="E8" s="8">
        <f t="shared" si="0"/>
        <v>0.40194561675717611</v>
      </c>
      <c r="F8" s="24">
        <f>(base!J8)</f>
        <v>0.69669999999999999</v>
      </c>
      <c r="G8" s="9">
        <f t="shared" si="1"/>
        <v>89804.63</v>
      </c>
      <c r="H8" s="25">
        <f>base!K8</f>
        <v>0.53990000000000005</v>
      </c>
    </row>
    <row r="9" spans="1:8" x14ac:dyDescent="0.3">
      <c r="A9" s="4">
        <v>202610</v>
      </c>
      <c r="B9" s="6" t="str">
        <f>base!A9</f>
        <v>17-RGO</v>
      </c>
      <c r="C9" s="7">
        <f>base!D9</f>
        <v>159900</v>
      </c>
      <c r="D9" s="7">
        <f>base!F9</f>
        <v>68396.61</v>
      </c>
      <c r="E9" s="8">
        <f t="shared" si="0"/>
        <v>0.42774615384615383</v>
      </c>
      <c r="F9" s="24">
        <f>(base!J9)</f>
        <v>0.74140000000000006</v>
      </c>
      <c r="G9" s="9">
        <f t="shared" si="1"/>
        <v>118549.86000000002</v>
      </c>
      <c r="H9" s="25">
        <f>base!K9</f>
        <v>0.51519999999999999</v>
      </c>
    </row>
    <row r="10" spans="1:8" hidden="1" x14ac:dyDescent="0.3">
      <c r="A10" s="4">
        <v>202610</v>
      </c>
      <c r="B10" s="6" t="e">
        <f>base!#REF!</f>
        <v>#REF!</v>
      </c>
      <c r="C10" s="7" t="e">
        <f>base!#REF!</f>
        <v>#REF!</v>
      </c>
      <c r="D10" s="7" t="e">
        <f>base!#REF!</f>
        <v>#REF!</v>
      </c>
      <c r="E10" s="8" t="e">
        <f t="shared" si="0"/>
        <v>#REF!</v>
      </c>
      <c r="F10" s="24" t="e">
        <f>(base!#REF!)</f>
        <v>#REF!</v>
      </c>
      <c r="G10" s="9" t="e">
        <f t="shared" si="1"/>
        <v>#REF!</v>
      </c>
      <c r="H10" s="25" t="e">
        <f>base!#REF!</f>
        <v>#REF!</v>
      </c>
    </row>
    <row r="11" spans="1:8" x14ac:dyDescent="0.3">
      <c r="A11" s="4">
        <v>202610</v>
      </c>
      <c r="B11" s="6" t="str">
        <f>base!A10</f>
        <v>Total</v>
      </c>
      <c r="C11" s="7">
        <f>SUM(C1:C9)</f>
        <v>1092000</v>
      </c>
      <c r="D11" s="7">
        <f>SUM(D1:D9)</f>
        <v>450603.14999999997</v>
      </c>
      <c r="E11" s="8">
        <f>D11/C11</f>
        <v>0.41264024725274723</v>
      </c>
      <c r="F11" s="8">
        <f>base!J11</f>
        <v>0.71524308608058607</v>
      </c>
      <c r="G11" s="9">
        <f>C11*F11</f>
        <v>781045.45</v>
      </c>
      <c r="H11" s="25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81AC4-6D51-42FB-888D-136EE6347A60}">
  <sheetPr codeName="Planilha3"/>
  <dimension ref="A1:H11"/>
  <sheetViews>
    <sheetView showGridLines="0" workbookViewId="0">
      <pane ySplit="1" topLeftCell="A2" activePane="bottomLeft" state="frozen"/>
      <selection pane="bottomLeft" activeCell="F7" sqref="F7"/>
    </sheetView>
  </sheetViews>
  <sheetFormatPr defaultRowHeight="14.4" x14ac:dyDescent="0.3"/>
  <cols>
    <col min="2" max="2" width="14.44140625" style="6" customWidth="1"/>
    <col min="3" max="3" width="17.33203125" style="6" bestFit="1" customWidth="1"/>
    <col min="4" max="4" width="19.33203125" style="6" bestFit="1" customWidth="1"/>
    <col min="5" max="5" width="13.88671875" style="6" customWidth="1"/>
    <col min="6" max="6" width="14.6640625" bestFit="1" customWidth="1"/>
  </cols>
  <sheetData>
    <row r="1" spans="1:8" x14ac:dyDescent="0.3">
      <c r="A1" s="3" t="s">
        <v>24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  <c r="G1" s="1" t="s">
        <v>10</v>
      </c>
      <c r="H1" s="5" t="s">
        <v>31</v>
      </c>
    </row>
    <row r="2" spans="1:8" x14ac:dyDescent="0.3">
      <c r="A2" s="4">
        <v>202610</v>
      </c>
      <c r="B2" s="7">
        <f>base!L11</f>
        <v>58308.81</v>
      </c>
      <c r="C2" s="10">
        <f>base!C27</f>
        <v>27400.14</v>
      </c>
      <c r="D2" s="8">
        <f>IFERROR(C2/B2,0)</f>
        <v>0.4699142376597979</v>
      </c>
      <c r="E2" s="7">
        <f>B2-C2</f>
        <v>30908.67</v>
      </c>
      <c r="F2" s="11">
        <f>base!F11-base!D11</f>
        <v>-641396.85000000009</v>
      </c>
      <c r="G2" s="21" t="str">
        <f>(base!K11)&amp;H1</f>
        <v>%</v>
      </c>
    </row>
    <row r="3" spans="1:8" x14ac:dyDescent="0.3">
      <c r="A3" s="4"/>
      <c r="B3" s="7"/>
      <c r="C3" s="7"/>
      <c r="D3" s="8"/>
    </row>
    <row r="4" spans="1:8" x14ac:dyDescent="0.3">
      <c r="A4" s="4"/>
      <c r="B4" s="7"/>
      <c r="C4" s="7"/>
      <c r="D4" s="8"/>
    </row>
    <row r="5" spans="1:8" x14ac:dyDescent="0.3">
      <c r="A5" s="4"/>
      <c r="B5" s="7"/>
      <c r="C5" s="7"/>
      <c r="D5" s="8"/>
    </row>
    <row r="6" spans="1:8" x14ac:dyDescent="0.3">
      <c r="A6" s="4"/>
      <c r="B6" s="7"/>
      <c r="C6" s="7"/>
      <c r="D6" s="8"/>
    </row>
    <row r="7" spans="1:8" x14ac:dyDescent="0.3">
      <c r="A7" s="4"/>
      <c r="B7" s="7"/>
      <c r="C7" s="7"/>
      <c r="D7" s="8"/>
    </row>
    <row r="8" spans="1:8" x14ac:dyDescent="0.3">
      <c r="A8" s="4"/>
      <c r="B8" s="7"/>
      <c r="C8" s="7"/>
      <c r="D8" s="8"/>
    </row>
    <row r="9" spans="1:8" x14ac:dyDescent="0.3">
      <c r="A9" s="4"/>
      <c r="B9" s="7"/>
      <c r="C9" s="7"/>
      <c r="D9" s="8"/>
    </row>
    <row r="10" spans="1:8" x14ac:dyDescent="0.3">
      <c r="A10" s="4"/>
      <c r="B10" s="7"/>
      <c r="C10" s="7"/>
      <c r="D10" s="8"/>
    </row>
    <row r="11" spans="1:8" x14ac:dyDescent="0.3">
      <c r="A11" s="4"/>
      <c r="B11" s="7"/>
      <c r="C11" s="7"/>
      <c r="D11" s="8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2BA6437EF849047B33977AE3CC00025" ma:contentTypeVersion="15" ma:contentTypeDescription="Crie um novo documento." ma:contentTypeScope="" ma:versionID="2fda3b91f0fc8e20c14c11d32d8864dd">
  <xsd:schema xmlns:xsd="http://www.w3.org/2001/XMLSchema" xmlns:xs="http://www.w3.org/2001/XMLSchema" xmlns:p="http://schemas.microsoft.com/office/2006/metadata/properties" xmlns:ns2="671776c5-29b2-438f-93e2-4095a3782164" xmlns:ns3="fb12f9d3-8460-4672-9bb3-c98df481edea" targetNamespace="http://schemas.microsoft.com/office/2006/metadata/properties" ma:root="true" ma:fieldsID="161cc5a8399f8fd96cc67feff6bac404" ns2:_="" ns3:_="">
    <xsd:import namespace="671776c5-29b2-438f-93e2-4095a3782164"/>
    <xsd:import namespace="fb12f9d3-8460-4672-9bb3-c98df481ede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776c5-29b2-438f-93e2-4095a378216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e961a8d-79a5-43d5-86e0-8a384ef236b7}" ma:internalName="TaxCatchAll" ma:showField="CatchAllData" ma:web="671776c5-29b2-438f-93e2-4095a37821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12f9d3-8460-4672-9bb3-c98df481ed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d1226923-6c5e-47b1-9956-ed9a80216a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776c5-29b2-438f-93e2-4095a3782164" xsi:nil="true"/>
    <lcf76f155ced4ddcb4097134ff3c332f xmlns="fb12f9d3-8460-4672-9bb3-c98df481ede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D69931-4CC0-4D4D-BBD5-76BF95E19B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1776c5-29b2-438f-93e2-4095a3782164"/>
    <ds:schemaRef ds:uri="fb12f9d3-8460-4672-9bb3-c98df481ed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FF36B7-B82C-4297-AD0D-C696E2E30F28}">
  <ds:schemaRefs>
    <ds:schemaRef ds:uri="http://purl.org/dc/terms/"/>
    <ds:schemaRef ds:uri="http://schemas.microsoft.com/office/infopath/2007/PartnerControls"/>
    <ds:schemaRef ds:uri="671776c5-29b2-438f-93e2-4095a3782164"/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http://schemas.openxmlformats.org/package/2006/metadata/core-properties"/>
    <ds:schemaRef ds:uri="fb12f9d3-8460-4672-9bb3-c98df481edea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073DE036-2C71-4DAE-AACC-05156901298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</vt:lpstr>
      <vt:lpstr>Venda_Lojas_Hoje</vt:lpstr>
      <vt:lpstr>venda_lojas_hoje_dia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LOJASHOJE</dc:creator>
  <cp:keywords/>
  <dc:description/>
  <cp:lastModifiedBy>JUNIOR MAIA MULLER</cp:lastModifiedBy>
  <cp:revision/>
  <dcterms:created xsi:type="dcterms:W3CDTF">2025-02-21T19:37:48Z</dcterms:created>
  <dcterms:modified xsi:type="dcterms:W3CDTF">2026-10-20T19:43:09Z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0x010100E2BA6437EF849047B33977AE3CC00025</vt:lpwstr>
  </property>
  <property fmtid="{D5CDD505-2E9C-101B-9397-08002B2CF9AE}" pid="3" name="MediaServiceImageTags">
    <vt:lpwstr/>
  </property>
</Properties>
</file>