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tjipromotora.sharepoint.com/sites/Crediagora-doc/Data Science/dados/tabela fat/"/>
    </mc:Choice>
  </mc:AlternateContent>
  <xr:revisionPtr revIDLastSave="0" documentId="11_F0121668BF80FEAEB4E8C0832FC015C3B4AFCEB7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Venda_Lojas_Hoje" sheetId="2" r:id="rId2"/>
    <sheet name="venda_lojas_hoje_dia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B11" i="2"/>
  <c r="H10" i="2"/>
  <c r="F10" i="2"/>
  <c r="D10" i="2"/>
  <c r="E10" i="2" s="1"/>
  <c r="C10" i="2"/>
  <c r="G10" i="2" s="1"/>
  <c r="B10" i="2"/>
  <c r="H9" i="2"/>
  <c r="G9" i="2"/>
  <c r="F9" i="2"/>
  <c r="D9" i="2"/>
  <c r="C9" i="2"/>
  <c r="E9" i="2" s="1"/>
  <c r="B9" i="2"/>
  <c r="H8" i="2"/>
  <c r="G8" i="2"/>
  <c r="F8" i="2"/>
  <c r="E8" i="2"/>
  <c r="D8" i="2"/>
  <c r="C8" i="2"/>
  <c r="B8" i="2"/>
  <c r="H7" i="2"/>
  <c r="G7" i="2"/>
  <c r="F7" i="2"/>
  <c r="E7" i="2"/>
  <c r="D7" i="2"/>
  <c r="C7" i="2"/>
  <c r="B7" i="2"/>
  <c r="H6" i="2"/>
  <c r="F6" i="2"/>
  <c r="G6" i="2" s="1"/>
  <c r="D6" i="2"/>
  <c r="C6" i="2"/>
  <c r="E6" i="2" s="1"/>
  <c r="B6" i="2"/>
  <c r="H5" i="2"/>
  <c r="F5" i="2"/>
  <c r="G5" i="2" s="1"/>
  <c r="D5" i="2"/>
  <c r="C5" i="2"/>
  <c r="E5" i="2" s="1"/>
  <c r="B5" i="2"/>
  <c r="H4" i="2"/>
  <c r="F4" i="2"/>
  <c r="D4" i="2"/>
  <c r="D11" i="2" s="1"/>
  <c r="C4" i="2"/>
  <c r="G4" i="2" s="1"/>
  <c r="B4" i="2"/>
  <c r="H3" i="2"/>
  <c r="G3" i="2"/>
  <c r="F3" i="2"/>
  <c r="D3" i="2"/>
  <c r="E3" i="2" s="1"/>
  <c r="C3" i="2"/>
  <c r="B3" i="2"/>
  <c r="H2" i="2"/>
  <c r="F2" i="2"/>
  <c r="D2" i="2"/>
  <c r="E2" i="2" s="1"/>
  <c r="C2" i="2"/>
  <c r="G2" i="2" s="1"/>
  <c r="B2" i="2"/>
  <c r="D29" i="1"/>
  <c r="C28" i="1"/>
  <c r="D28" i="1" s="1"/>
  <c r="A28" i="1"/>
  <c r="G27" i="1"/>
  <c r="B27" i="1"/>
  <c r="D27" i="1" s="1"/>
  <c r="G26" i="1"/>
  <c r="F26" i="1"/>
  <c r="E26" i="1"/>
  <c r="D26" i="1"/>
  <c r="B26" i="1"/>
  <c r="A26" i="1"/>
  <c r="G25" i="1"/>
  <c r="F25" i="1"/>
  <c r="E25" i="1"/>
  <c r="B25" i="1"/>
  <c r="D25" i="1" s="1"/>
  <c r="A25" i="1"/>
  <c r="G24" i="1"/>
  <c r="F24" i="1"/>
  <c r="E24" i="1"/>
  <c r="B24" i="1"/>
  <c r="D24" i="1" s="1"/>
  <c r="A24" i="1"/>
  <c r="G23" i="1"/>
  <c r="F23" i="1"/>
  <c r="E23" i="1"/>
  <c r="B23" i="1"/>
  <c r="D23" i="1" s="1"/>
  <c r="A23" i="1"/>
  <c r="G22" i="1"/>
  <c r="F22" i="1"/>
  <c r="E22" i="1"/>
  <c r="B22" i="1"/>
  <c r="D22" i="1" s="1"/>
  <c r="A22" i="1"/>
  <c r="G21" i="1"/>
  <c r="F21" i="1"/>
  <c r="F28" i="1" s="1"/>
  <c r="E21" i="1"/>
  <c r="B21" i="1"/>
  <c r="D21" i="1" s="1"/>
  <c r="A21" i="1"/>
  <c r="G20" i="1"/>
  <c r="F20" i="1"/>
  <c r="E20" i="1"/>
  <c r="B20" i="1"/>
  <c r="D20" i="1" s="1"/>
  <c r="A20" i="1"/>
  <c r="G19" i="1"/>
  <c r="G28" i="1" s="1"/>
  <c r="F19" i="1"/>
  <c r="E19" i="1"/>
  <c r="E28" i="1" s="1"/>
  <c r="B19" i="1"/>
  <c r="B28" i="1" s="1"/>
  <c r="A19" i="1"/>
  <c r="L12" i="1"/>
  <c r="B2" i="3" s="1"/>
  <c r="G12" i="1"/>
  <c r="L11" i="1"/>
  <c r="I11" i="1"/>
  <c r="J11" i="1" s="1"/>
  <c r="J12" i="1" s="1"/>
  <c r="F11" i="2" s="1"/>
  <c r="F11" i="1"/>
  <c r="H11" i="1" s="1"/>
  <c r="H12" i="1" s="1"/>
  <c r="E11" i="1"/>
  <c r="E12" i="1" s="1"/>
  <c r="D11" i="1"/>
  <c r="D12" i="1" s="1"/>
  <c r="C30" i="1" l="1"/>
  <c r="F12" i="1"/>
  <c r="F2" i="3" s="1"/>
  <c r="B30" i="1"/>
  <c r="I12" i="1"/>
  <c r="C11" i="2"/>
  <c r="G11" i="2" s="1"/>
  <c r="E4" i="2"/>
  <c r="D19" i="1"/>
  <c r="E27" i="1"/>
  <c r="C2" i="3"/>
  <c r="D2" i="3" s="1"/>
  <c r="D30" i="1" l="1"/>
  <c r="E2" i="3"/>
  <c r="E11" i="2"/>
</calcChain>
</file>

<file path=xl/sharedStrings.xml><?xml version="1.0" encoding="utf-8"?>
<sst xmlns="http://schemas.openxmlformats.org/spreadsheetml/2006/main" count="50" uniqueCount="46">
  <si>
    <t>Local</t>
  </si>
  <si>
    <t>Dias Úteis</t>
  </si>
  <si>
    <t>Dias Dec.</t>
  </si>
  <si>
    <t>Vlr Total Meta</t>
  </si>
  <si>
    <t>Vlr Desafio</t>
  </si>
  <si>
    <t>Vlr Liq. Realiz.</t>
  </si>
  <si>
    <t>% Sob. Total</t>
  </si>
  <si>
    <t>% Ating Meta</t>
  </si>
  <si>
    <t>Vlr Proj. Loc.</t>
  </si>
  <si>
    <t>% Proj.</t>
  </si>
  <si>
    <t>% Mrg</t>
  </si>
  <si>
    <t>Falta na Meta/Dia</t>
  </si>
  <si>
    <t>01-SCR</t>
  </si>
  <si>
    <t>05-TUC</t>
  </si>
  <si>
    <t>09-SPM</t>
  </si>
  <si>
    <t>10-CMI</t>
  </si>
  <si>
    <t>11-CAT</t>
  </si>
  <si>
    <t>13-GMI</t>
  </si>
  <si>
    <t>16-DMC</t>
  </si>
  <si>
    <t>17-RGO</t>
  </si>
  <si>
    <t>99-MTZ</t>
  </si>
  <si>
    <t>Total</t>
  </si>
  <si>
    <t>Grand Total</t>
  </si>
  <si>
    <t>Meta dia</t>
  </si>
  <si>
    <t>Venda dia</t>
  </si>
  <si>
    <t>% Realizado</t>
  </si>
  <si>
    <t>SFS Moda do Mês</t>
  </si>
  <si>
    <t>Encargos</t>
  </si>
  <si>
    <t>Venda dia + Encargos</t>
  </si>
  <si>
    <t>99 - MTZ</t>
  </si>
  <si>
    <t>Meta mês</t>
  </si>
  <si>
    <t>Venda mês</t>
  </si>
  <si>
    <t>Total geral</t>
  </si>
  <si>
    <t>AnoMes</t>
  </si>
  <si>
    <t>Loja</t>
  </si>
  <si>
    <t>Meta - Volume</t>
  </si>
  <si>
    <t>Realizado - Volume</t>
  </si>
  <si>
    <t>% Realizado - Volume</t>
  </si>
  <si>
    <t>% Projeção</t>
  </si>
  <si>
    <t>R$ Projeção</t>
  </si>
  <si>
    <t>%</t>
  </si>
  <si>
    <t>Meta_Dia</t>
  </si>
  <si>
    <t>Realizado_Dia</t>
  </si>
  <si>
    <t>% Realizado_dia</t>
  </si>
  <si>
    <t>GAP_Dia</t>
  </si>
  <si>
    <t>GAT_Total_Mes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</si>
</sst>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111111"/>
      <name val="Arial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/>
    <xf numFmtId="43" fontId="1" fillId="0" borderId="0"/>
    <xf numFmtId="44" fontId="1" fillId="0" borderId="0"/>
  </cellStyleXfs>
  <cellXfs count="51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4" fontId="3" fillId="2" borderId="0" xfId="0" applyNumberFormat="1" applyFont="1" applyFill="1" applyAlignment="1">
      <alignment wrapText="1"/>
    </xf>
    <xf numFmtId="0" fontId="2" fillId="2" borderId="0" xfId="0" applyFont="1" applyFill="1"/>
    <xf numFmtId="0" fontId="0" fillId="0" borderId="0" xfId="0" quotePrefix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43" fontId="0" fillId="0" borderId="0" xfId="2" applyFont="1" applyAlignment="1">
      <alignment horizontal="center"/>
    </xf>
    <xf numFmtId="4" fontId="0" fillId="3" borderId="0" xfId="0" applyNumberFormat="1" applyFill="1" applyAlignment="1">
      <alignment horizontal="center"/>
    </xf>
    <xf numFmtId="4" fontId="0" fillId="0" borderId="0" xfId="0" applyNumberFormat="1"/>
    <xf numFmtId="0" fontId="2" fillId="4" borderId="1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10" fontId="2" fillId="4" borderId="1" xfId="1" applyNumberFormat="1" applyFont="1" applyFill="1" applyBorder="1" applyAlignment="1">
      <alignment horizontal="center"/>
    </xf>
    <xf numFmtId="4" fontId="0" fillId="0" borderId="1" xfId="3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1" xfId="3" applyNumberFormat="1" applyFont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10" fontId="4" fillId="2" borderId="0" xfId="1" applyNumberFormat="1" applyFont="1" applyFill="1" applyAlignment="1">
      <alignment horizontal="center" vertical="center" wrapText="1"/>
    </xf>
    <xf numFmtId="10" fontId="0" fillId="0" borderId="0" xfId="1" applyNumberFormat="1" applyFont="1"/>
    <xf numFmtId="9" fontId="0" fillId="0" borderId="0" xfId="1" applyFont="1"/>
    <xf numFmtId="43" fontId="0" fillId="0" borderId="0" xfId="2" applyFont="1"/>
    <xf numFmtId="10" fontId="0" fillId="0" borderId="0" xfId="0" applyNumberFormat="1" applyAlignment="1">
      <alignment horizontal="center"/>
    </xf>
    <xf numFmtId="10" fontId="0" fillId="0" borderId="0" xfId="0" applyNumberFormat="1"/>
    <xf numFmtId="44" fontId="0" fillId="0" borderId="0" xfId="3" applyFont="1"/>
    <xf numFmtId="0" fontId="2" fillId="4" borderId="2" xfId="0" applyFont="1" applyFill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10" fontId="2" fillId="4" borderId="2" xfId="1" applyNumberFormat="1" applyFont="1" applyFill="1" applyBorder="1" applyAlignment="1">
      <alignment horizontal="center"/>
    </xf>
    <xf numFmtId="43" fontId="0" fillId="0" borderId="2" xfId="3" applyNumberFormat="1" applyFont="1" applyBorder="1" applyAlignment="1">
      <alignment horizontal="center"/>
    </xf>
    <xf numFmtId="43" fontId="2" fillId="4" borderId="2" xfId="3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43" fontId="0" fillId="0" borderId="1" xfId="3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2" fillId="4" borderId="1" xfId="3" applyFont="1" applyFill="1" applyBorder="1" applyAlignment="1">
      <alignment horizontal="center"/>
    </xf>
    <xf numFmtId="43" fontId="2" fillId="4" borderId="1" xfId="3" applyNumberFormat="1" applyFont="1" applyFill="1" applyBorder="1" applyAlignment="1">
      <alignment horizontal="center"/>
    </xf>
    <xf numFmtId="10" fontId="3" fillId="2" borderId="0" xfId="1" applyNumberFormat="1" applyFont="1" applyFill="1" applyAlignment="1">
      <alignment horizontal="center" wrapText="1"/>
    </xf>
    <xf numFmtId="9" fontId="3" fillId="2" borderId="0" xfId="1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 wrapText="1"/>
    </xf>
    <xf numFmtId="10" fontId="0" fillId="2" borderId="0" xfId="1" applyNumberFormat="1" applyFont="1" applyFill="1" applyAlignment="1">
      <alignment horizontal="center" wrapText="1"/>
    </xf>
    <xf numFmtId="10" fontId="3" fillId="2" borderId="0" xfId="0" applyNumberFormat="1" applyFont="1" applyFill="1" applyAlignment="1">
      <alignment horizontal="center" wrapText="1"/>
    </xf>
    <xf numFmtId="4" fontId="5" fillId="0" borderId="0" xfId="0" applyNumberFormat="1" applyFont="1" applyAlignment="1">
      <alignment horizontal="center"/>
    </xf>
    <xf numFmtId="4" fontId="0" fillId="5" borderId="0" xfId="0" applyNumberFormat="1" applyFill="1" applyAlignment="1">
      <alignment horizontal="center"/>
    </xf>
    <xf numFmtId="4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0" borderId="1" xfId="0" applyFont="1" applyBorder="1" applyAlignment="1">
      <alignment horizontal="center"/>
    </xf>
    <xf numFmtId="9" fontId="0" fillId="0" borderId="0" xfId="1" applyFont="1" applyAlignment="1">
      <alignment horizontal="center"/>
    </xf>
  </cellXfs>
  <cellStyles count="4">
    <cellStyle name="Moeda" xfId="3" builtinId="4"/>
    <cellStyle name="Normal" xfId="0" builtinId="0"/>
    <cellStyle name="Porcentagem" xfId="1" builtinId="5"/>
    <cellStyle name="Vírgula" xfId="2" builtinId="3"/>
  </cellStyles>
  <dxfs count="6">
    <dxf>
      <numFmt numFmtId="35" formatCode="_-* #,##0.00_-;\-* #,##0.00_-;_-* &quot;-&quot;??_-;_-@_-"/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numFmt numFmtId="35" formatCode="_-* #,##0.00_-;\-* #,##0.00_-;_-* &quot;-&quot;??_-;_-@_-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nk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P Eliane"/>
      <sheetName val="P Andreia"/>
      <sheetName val="P ANDREIA NOVO"/>
    </sheetNames>
    <sheetDataSet>
      <sheetData sheetId="0"/>
      <sheetData sheetId="1">
        <row r="2">
          <cell r="H2">
            <v>0</v>
          </cell>
          <cell r="I2">
            <v>893.87</v>
          </cell>
        </row>
        <row r="3">
          <cell r="H3">
            <v>0</v>
          </cell>
          <cell r="I3">
            <v>4311.1099999999997</v>
          </cell>
        </row>
        <row r="4">
          <cell r="H4">
            <v>0</v>
          </cell>
          <cell r="I4">
            <v>1383.58</v>
          </cell>
        </row>
        <row r="5">
          <cell r="H5">
            <v>119.16</v>
          </cell>
          <cell r="I5">
            <v>1791.69</v>
          </cell>
        </row>
        <row r="6">
          <cell r="H6">
            <v>322.68</v>
          </cell>
          <cell r="I6">
            <v>336.36</v>
          </cell>
        </row>
        <row r="7">
          <cell r="H7">
            <v>316.44</v>
          </cell>
          <cell r="I7">
            <v>4444.1499999999996</v>
          </cell>
        </row>
        <row r="8">
          <cell r="H8">
            <v>0</v>
          </cell>
          <cell r="I8">
            <v>1187.47</v>
          </cell>
        </row>
        <row r="9">
          <cell r="H9">
            <v>0</v>
          </cell>
          <cell r="I9">
            <v>710.94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E18:G28" totalsRowShown="0" headerRowDxfId="5" dataDxfId="4" tableBorderDxfId="3" dataCellStyle="Moeda">
  <tableColumns count="3">
    <tableColumn id="4" xr3:uid="{00000000-0010-0000-0000-000004000000}" name="SFS Moda do Mês" dataDxfId="2" dataCellStyle="Moeda">
      <calculatedColumnFormula>SUM(E10:E17)</calculatedColumnFormula>
    </tableColumn>
    <tableColumn id="1" xr3:uid="{00000000-0010-0000-0000-000001000000}" name="Encargos" dataDxfId="1" dataCellStyle="Moeda"/>
    <tableColumn id="2" xr3:uid="{00000000-0010-0000-0000-000002000000}" name="Venda dia + Encargos" dataDxfId="0" dataCellStyle="Moed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O37"/>
  <sheetViews>
    <sheetView showGridLines="0" tabSelected="1" zoomScale="85" zoomScaleNormal="85" workbookViewId="0">
      <selection activeCell="D4" sqref="D4"/>
    </sheetView>
  </sheetViews>
  <sheetFormatPr defaultRowHeight="14.4" x14ac:dyDescent="0.3"/>
  <cols>
    <col min="1" max="1" width="10.109375" style="6" bestFit="1" customWidth="1"/>
    <col min="2" max="2" width="13.33203125" style="6" bestFit="1" customWidth="1"/>
    <col min="3" max="3" width="11.6640625" style="6" bestFit="1" customWidth="1"/>
    <col min="4" max="4" width="12.21875" bestFit="1" customWidth="1"/>
    <col min="5" max="5" width="16.21875" style="6" bestFit="1" customWidth="1"/>
    <col min="6" max="6" width="12.109375" style="6" bestFit="1" customWidth="1"/>
    <col min="7" max="7" width="22" style="8" bestFit="1" customWidth="1"/>
    <col min="8" max="8" width="13.44140625" style="6" bestFit="1" customWidth="1"/>
    <col min="9" max="9" width="11.33203125" style="6" bestFit="1" customWidth="1"/>
    <col min="10" max="10" width="13.44140625" style="8" bestFit="1" customWidth="1"/>
    <col min="11" max="11" width="9.6640625" style="6" bestFit="1" customWidth="1"/>
    <col min="12" max="12" width="15.33203125" style="6" bestFit="1" customWidth="1"/>
    <col min="14" max="14" width="10.44140625" bestFit="1" customWidth="1"/>
  </cols>
  <sheetData>
    <row r="1" spans="1:15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20" t="s">
        <v>9</v>
      </c>
      <c r="K1" s="1" t="s">
        <v>10</v>
      </c>
      <c r="L1" s="1" t="s">
        <v>11</v>
      </c>
    </row>
    <row r="2" spans="1:15" x14ac:dyDescent="0.3">
      <c r="A2" s="47" t="s">
        <v>12</v>
      </c>
      <c r="B2" s="47">
        <v>25</v>
      </c>
      <c r="C2" s="47">
        <v>14</v>
      </c>
      <c r="D2" s="2">
        <v>118900</v>
      </c>
      <c r="E2" s="41">
        <v>130790</v>
      </c>
      <c r="F2" s="41">
        <v>41463.480000000003</v>
      </c>
      <c r="G2" s="39">
        <v>9.3699999999999992E-2</v>
      </c>
      <c r="H2" s="39">
        <v>0.34870000000000001</v>
      </c>
      <c r="I2" s="41">
        <v>74041.929999999993</v>
      </c>
      <c r="J2" s="39">
        <v>0.62270000000000003</v>
      </c>
      <c r="K2" s="39">
        <v>0.48930000000000001</v>
      </c>
      <c r="L2" s="41">
        <v>7039.68</v>
      </c>
    </row>
    <row r="3" spans="1:15" x14ac:dyDescent="0.3">
      <c r="A3" s="47" t="s">
        <v>13</v>
      </c>
      <c r="B3" s="47">
        <v>25</v>
      </c>
      <c r="C3" s="47">
        <v>14</v>
      </c>
      <c r="D3" s="2">
        <v>105500</v>
      </c>
      <c r="E3" s="41">
        <v>116050</v>
      </c>
      <c r="F3" s="41">
        <v>34316.629999999997</v>
      </c>
      <c r="G3" s="39">
        <v>7.7499999999999999E-2</v>
      </c>
      <c r="H3" s="39">
        <v>0.32529999999999998</v>
      </c>
      <c r="I3" s="41">
        <v>61279.7</v>
      </c>
      <c r="J3" s="39">
        <v>0.58090000000000008</v>
      </c>
      <c r="K3" s="39">
        <v>0.58289999999999997</v>
      </c>
      <c r="L3" s="41">
        <v>6471.22</v>
      </c>
      <c r="N3" s="26"/>
      <c r="O3" s="21"/>
    </row>
    <row r="4" spans="1:15" x14ac:dyDescent="0.3">
      <c r="A4" s="47" t="s">
        <v>14</v>
      </c>
      <c r="B4" s="47">
        <v>25</v>
      </c>
      <c r="C4" s="47">
        <v>14</v>
      </c>
      <c r="D4" s="2">
        <v>105500</v>
      </c>
      <c r="E4" s="41">
        <v>116050</v>
      </c>
      <c r="F4" s="41">
        <v>31936.48</v>
      </c>
      <c r="G4" s="39">
        <v>7.2099999999999997E-2</v>
      </c>
      <c r="H4" s="39">
        <v>0.30270000000000002</v>
      </c>
      <c r="I4" s="41">
        <v>57029.43</v>
      </c>
      <c r="J4" s="39">
        <v>0.54059999999999997</v>
      </c>
      <c r="K4" s="39">
        <v>0.57789999999999997</v>
      </c>
      <c r="L4" s="41">
        <v>6687.59</v>
      </c>
    </row>
    <row r="5" spans="1:15" x14ac:dyDescent="0.3">
      <c r="A5" s="47" t="s">
        <v>15</v>
      </c>
      <c r="B5" s="47">
        <v>25</v>
      </c>
      <c r="C5" s="47">
        <v>14</v>
      </c>
      <c r="D5" s="2">
        <v>112900</v>
      </c>
      <c r="E5" s="41">
        <v>124190</v>
      </c>
      <c r="F5" s="41">
        <v>45625.8</v>
      </c>
      <c r="G5" s="39">
        <v>0.1031</v>
      </c>
      <c r="H5" s="39">
        <v>0.40410000000000001</v>
      </c>
      <c r="I5" s="41">
        <v>81474.64</v>
      </c>
      <c r="J5" s="39">
        <v>0.72170000000000001</v>
      </c>
      <c r="K5" s="39">
        <v>0.5716</v>
      </c>
      <c r="L5" s="41">
        <v>6115.84</v>
      </c>
      <c r="N5" s="22"/>
    </row>
    <row r="6" spans="1:15" x14ac:dyDescent="0.3">
      <c r="A6" s="47" t="s">
        <v>16</v>
      </c>
      <c r="B6" s="47">
        <v>25</v>
      </c>
      <c r="C6" s="47">
        <v>14</v>
      </c>
      <c r="D6" s="2">
        <v>154500</v>
      </c>
      <c r="E6" s="41">
        <v>169950</v>
      </c>
      <c r="F6" s="41">
        <v>98209.45</v>
      </c>
      <c r="G6" s="39">
        <v>0.2218</v>
      </c>
      <c r="H6" s="39">
        <v>0.63570000000000004</v>
      </c>
      <c r="I6" s="41">
        <v>175374.02</v>
      </c>
      <c r="J6" s="39">
        <v>1.1351</v>
      </c>
      <c r="K6" s="39">
        <v>0.57669999999999999</v>
      </c>
      <c r="L6" s="41">
        <v>5117.32</v>
      </c>
    </row>
    <row r="7" spans="1:15" x14ac:dyDescent="0.3">
      <c r="A7" s="47" t="s">
        <v>17</v>
      </c>
      <c r="B7" s="47">
        <v>25</v>
      </c>
      <c r="C7" s="47">
        <v>14</v>
      </c>
      <c r="D7" s="2">
        <v>105500</v>
      </c>
      <c r="E7" s="41">
        <v>116050</v>
      </c>
      <c r="F7" s="41">
        <v>50002.54</v>
      </c>
      <c r="G7" s="39">
        <v>0.1129</v>
      </c>
      <c r="H7" s="39">
        <v>0.47399999999999998</v>
      </c>
      <c r="I7" s="41">
        <v>89290.25</v>
      </c>
      <c r="J7" s="39">
        <v>0.84640000000000004</v>
      </c>
      <c r="K7" s="39">
        <v>0.58460000000000001</v>
      </c>
      <c r="L7" s="41">
        <v>5045.22</v>
      </c>
    </row>
    <row r="8" spans="1:15" x14ac:dyDescent="0.3">
      <c r="A8" s="47" t="s">
        <v>18</v>
      </c>
      <c r="B8" s="47">
        <v>25</v>
      </c>
      <c r="C8" s="47">
        <v>14</v>
      </c>
      <c r="D8" s="2">
        <v>112900</v>
      </c>
      <c r="E8" s="41">
        <v>124190</v>
      </c>
      <c r="F8" s="41">
        <v>62276.37</v>
      </c>
      <c r="G8" s="39">
        <v>0.14069999999999999</v>
      </c>
      <c r="H8" s="39">
        <v>0.55159999999999998</v>
      </c>
      <c r="I8" s="41">
        <v>111207.8</v>
      </c>
      <c r="J8" s="39">
        <v>0.98499999999999999</v>
      </c>
      <c r="K8" s="39">
        <v>0.57509999999999994</v>
      </c>
      <c r="L8" s="41">
        <v>4602.1499999999996</v>
      </c>
    </row>
    <row r="9" spans="1:15" x14ac:dyDescent="0.3">
      <c r="A9" s="47" t="s">
        <v>19</v>
      </c>
      <c r="B9" s="47">
        <v>25</v>
      </c>
      <c r="C9" s="47">
        <v>14</v>
      </c>
      <c r="D9" s="2">
        <v>121500</v>
      </c>
      <c r="E9" s="41">
        <v>133650</v>
      </c>
      <c r="F9" s="41">
        <v>78914.03</v>
      </c>
      <c r="G9" s="39">
        <v>0.1782</v>
      </c>
      <c r="H9" s="39">
        <v>0.64950000000000008</v>
      </c>
      <c r="I9" s="41">
        <v>140917.91</v>
      </c>
      <c r="J9" s="39">
        <v>1.1597999999999999</v>
      </c>
      <c r="K9" s="39">
        <v>0.57469999999999999</v>
      </c>
      <c r="L9" s="41">
        <v>3871.45</v>
      </c>
    </row>
    <row r="10" spans="1:15" x14ac:dyDescent="0.3">
      <c r="A10" s="47" t="s">
        <v>20</v>
      </c>
      <c r="B10" s="47"/>
      <c r="C10" s="47"/>
      <c r="D10" s="2"/>
      <c r="E10" s="41"/>
      <c r="F10" s="41"/>
      <c r="G10" s="39"/>
      <c r="H10" s="39"/>
      <c r="I10" s="41"/>
      <c r="J10" s="39"/>
      <c r="K10" s="39"/>
      <c r="L10" s="41"/>
    </row>
    <row r="11" spans="1:15" x14ac:dyDescent="0.3">
      <c r="A11" s="47" t="s">
        <v>21</v>
      </c>
      <c r="B11" s="48"/>
      <c r="C11" s="48"/>
      <c r="D11" s="2">
        <f>SUM(D2:D10)</f>
        <v>937200</v>
      </c>
      <c r="E11" s="41">
        <f>SUM(E2:E10)</f>
        <v>1030920</v>
      </c>
      <c r="F11" s="41">
        <f>SUM(F2:F10)</f>
        <v>442744.78</v>
      </c>
      <c r="G11" s="40">
        <v>1</v>
      </c>
      <c r="H11" s="42">
        <f>F11/D11</f>
        <v>0.47241227059325652</v>
      </c>
      <c r="I11" s="41">
        <f>SUM(I2:I10)</f>
        <v>790615.68</v>
      </c>
      <c r="J11" s="42">
        <f>I11/D11</f>
        <v>0.84359334186939827</v>
      </c>
      <c r="K11" s="43"/>
      <c r="L11" s="41">
        <f>SUM(L2:L10)</f>
        <v>44950.47</v>
      </c>
    </row>
    <row r="12" spans="1:15" x14ac:dyDescent="0.3">
      <c r="A12" s="47" t="s">
        <v>22</v>
      </c>
      <c r="B12" s="48"/>
      <c r="C12" s="48"/>
      <c r="D12" s="2">
        <f t="shared" ref="D12:J12" si="0">D11</f>
        <v>937200</v>
      </c>
      <c r="E12" s="41">
        <f t="shared" si="0"/>
        <v>1030920</v>
      </c>
      <c r="F12" s="41">
        <f t="shared" si="0"/>
        <v>442744.78</v>
      </c>
      <c r="G12" s="40">
        <f t="shared" si="0"/>
        <v>1</v>
      </c>
      <c r="H12" s="42">
        <f t="shared" si="0"/>
        <v>0.47241227059325652</v>
      </c>
      <c r="I12" s="41">
        <f t="shared" si="0"/>
        <v>790615.68</v>
      </c>
      <c r="J12" s="39">
        <f t="shared" si="0"/>
        <v>0.84359334186939827</v>
      </c>
      <c r="K12" s="43"/>
      <c r="L12" s="41">
        <f>L11</f>
        <v>44950.47</v>
      </c>
    </row>
    <row r="14" spans="1:15" x14ac:dyDescent="0.3">
      <c r="F14" s="45"/>
      <c r="I14" s="7"/>
    </row>
    <row r="17" spans="1:11" x14ac:dyDescent="0.3">
      <c r="I17" s="44"/>
    </row>
    <row r="18" spans="1:11" x14ac:dyDescent="0.3">
      <c r="A18" s="35" t="s">
        <v>0</v>
      </c>
      <c r="B18" s="12" t="s">
        <v>23</v>
      </c>
      <c r="C18" s="12" t="s">
        <v>24</v>
      </c>
      <c r="D18" s="27" t="s">
        <v>25</v>
      </c>
      <c r="E18" s="34" t="s">
        <v>26</v>
      </c>
      <c r="F18" s="32" t="s">
        <v>27</v>
      </c>
      <c r="G18" s="32" t="s">
        <v>28</v>
      </c>
      <c r="H18" s="8"/>
      <c r="J18" s="6"/>
      <c r="K18" s="8"/>
    </row>
    <row r="19" spans="1:11" ht="15" customHeight="1" x14ac:dyDescent="0.3">
      <c r="A19" s="36" t="str">
        <f>A3</f>
        <v>05-TUC</v>
      </c>
      <c r="B19" s="13">
        <f>L3</f>
        <v>6471.22</v>
      </c>
      <c r="C19" s="16">
        <v>1210.45</v>
      </c>
      <c r="D19" s="28">
        <f t="shared" ref="D19:D26" si="1">C19/B19</f>
        <v>0.18705128244751376</v>
      </c>
      <c r="E19" s="30">
        <f>'[1]P Eliane'!$I$3</f>
        <v>4311.1099999999997</v>
      </c>
      <c r="F19" s="30">
        <f>'[1]P Eliane'!$H$3</f>
        <v>0</v>
      </c>
      <c r="G19" s="30">
        <f t="shared" ref="G19:G27" si="2">SUM(F19,C19)</f>
        <v>1210.45</v>
      </c>
      <c r="H19" s="8"/>
      <c r="J19" s="6"/>
      <c r="K19" s="8"/>
    </row>
    <row r="20" spans="1:11" x14ac:dyDescent="0.3">
      <c r="A20" s="36" t="str">
        <f>A7</f>
        <v>13-GMI</v>
      </c>
      <c r="B20" s="13">
        <f>L7</f>
        <v>5045.22</v>
      </c>
      <c r="C20" s="16">
        <v>2655.7</v>
      </c>
      <c r="D20" s="28">
        <f t="shared" si="1"/>
        <v>0.526379424484958</v>
      </c>
      <c r="E20" s="30">
        <f>'[1]P Eliane'!$I$7</f>
        <v>4444.1499999999996</v>
      </c>
      <c r="F20" s="30">
        <f>'[1]P Eliane'!$H$7</f>
        <v>316.44</v>
      </c>
      <c r="G20" s="30">
        <f t="shared" si="2"/>
        <v>2972.14</v>
      </c>
      <c r="H20" s="8"/>
      <c r="J20" s="6"/>
      <c r="K20" s="8"/>
    </row>
    <row r="21" spans="1:11" x14ac:dyDescent="0.3">
      <c r="A21" s="36" t="str">
        <f>A8</f>
        <v>16-DMC</v>
      </c>
      <c r="B21" s="13">
        <f>L8</f>
        <v>4602.1499999999996</v>
      </c>
      <c r="C21" s="16">
        <v>1429.55</v>
      </c>
      <c r="D21" s="28">
        <f t="shared" si="1"/>
        <v>0.31062655497973773</v>
      </c>
      <c r="E21" s="30">
        <f>'[1]P Eliane'!$I$8</f>
        <v>1187.47</v>
      </c>
      <c r="F21" s="30">
        <f>'[1]P Eliane'!$H$8</f>
        <v>0</v>
      </c>
      <c r="G21" s="30">
        <f t="shared" si="2"/>
        <v>1429.55</v>
      </c>
      <c r="H21" s="8"/>
      <c r="J21" s="6"/>
      <c r="K21" s="8"/>
    </row>
    <row r="22" spans="1:11" x14ac:dyDescent="0.3">
      <c r="A22" s="36" t="str">
        <f>A9</f>
        <v>17-RGO</v>
      </c>
      <c r="B22" s="13">
        <f>L9</f>
        <v>3871.45</v>
      </c>
      <c r="C22" s="16">
        <v>3152.55</v>
      </c>
      <c r="D22" s="28">
        <f t="shared" si="1"/>
        <v>0.81430730088209857</v>
      </c>
      <c r="E22" s="30">
        <f>'[1]P Eliane'!$I$9</f>
        <v>710.94</v>
      </c>
      <c r="F22" s="30">
        <f>'[1]P Eliane'!$H$9</f>
        <v>0</v>
      </c>
      <c r="G22" s="30">
        <f t="shared" si="2"/>
        <v>3152.55</v>
      </c>
      <c r="H22" s="8"/>
      <c r="J22" s="6"/>
      <c r="K22" s="8"/>
    </row>
    <row r="23" spans="1:11" x14ac:dyDescent="0.3">
      <c r="A23" s="36" t="str">
        <f>A5</f>
        <v>10-CMI</v>
      </c>
      <c r="B23" s="13">
        <f>L5</f>
        <v>6115.84</v>
      </c>
      <c r="C23" s="16">
        <v>380.21</v>
      </c>
      <c r="D23" s="28">
        <f t="shared" si="1"/>
        <v>6.2168075031393884E-2</v>
      </c>
      <c r="E23" s="30">
        <f>'[1]P Eliane'!$I$5</f>
        <v>1791.69</v>
      </c>
      <c r="F23" s="30">
        <f>'[1]P Eliane'!$H$5</f>
        <v>119.16</v>
      </c>
      <c r="G23" s="30">
        <f t="shared" si="2"/>
        <v>499.37</v>
      </c>
      <c r="H23" s="8"/>
      <c r="J23" s="6"/>
      <c r="K23" s="8"/>
    </row>
    <row r="24" spans="1:11" x14ac:dyDescent="0.3">
      <c r="A24" s="36" t="str">
        <f>A6</f>
        <v>11-CAT</v>
      </c>
      <c r="B24" s="13">
        <f>L6</f>
        <v>5117.32</v>
      </c>
      <c r="C24" s="16">
        <v>0</v>
      </c>
      <c r="D24" s="28">
        <f t="shared" si="1"/>
        <v>0</v>
      </c>
      <c r="E24" s="30">
        <f>'[1]P Eliane'!$I$6</f>
        <v>336.36</v>
      </c>
      <c r="F24" s="30">
        <f>'[1]P Eliane'!$H$6</f>
        <v>322.68</v>
      </c>
      <c r="G24" s="30">
        <f t="shared" si="2"/>
        <v>322.68</v>
      </c>
      <c r="H24" s="8"/>
      <c r="J24" s="6"/>
      <c r="K24" s="8"/>
    </row>
    <row r="25" spans="1:11" x14ac:dyDescent="0.3">
      <c r="A25" s="36" t="str">
        <f>A4</f>
        <v>09-SPM</v>
      </c>
      <c r="B25" s="13">
        <f>L4</f>
        <v>6687.59</v>
      </c>
      <c r="C25" s="16">
        <v>1225.3900000000001</v>
      </c>
      <c r="D25" s="28">
        <f t="shared" si="1"/>
        <v>0.18323342190535008</v>
      </c>
      <c r="E25" s="30">
        <f>'[1]P Eliane'!$I$4</f>
        <v>1383.58</v>
      </c>
      <c r="F25" s="30">
        <f>'[1]P Eliane'!$H$4</f>
        <v>0</v>
      </c>
      <c r="G25" s="30">
        <f t="shared" si="2"/>
        <v>1225.3900000000001</v>
      </c>
      <c r="H25" s="8"/>
      <c r="J25" s="6"/>
      <c r="K25" s="8"/>
    </row>
    <row r="26" spans="1:11" ht="15" customHeight="1" x14ac:dyDescent="0.3">
      <c r="A26" s="36" t="str">
        <f>A2</f>
        <v>01-SCR</v>
      </c>
      <c r="B26" s="13">
        <f>L2</f>
        <v>7039.68</v>
      </c>
      <c r="C26" s="16">
        <v>1354.22</v>
      </c>
      <c r="D26" s="28">
        <f t="shared" si="1"/>
        <v>0.19236953952452385</v>
      </c>
      <c r="E26" s="30">
        <f>'[1]P Eliane'!$I$2</f>
        <v>893.87</v>
      </c>
      <c r="F26" s="30">
        <f>'[1]P Eliane'!$H$2</f>
        <v>0</v>
      </c>
      <c r="G26" s="30">
        <f t="shared" si="2"/>
        <v>1354.22</v>
      </c>
      <c r="H26" s="8"/>
      <c r="J26" s="6"/>
      <c r="K26" s="8"/>
    </row>
    <row r="27" spans="1:11" hidden="1" x14ac:dyDescent="0.3">
      <c r="A27" s="36" t="s">
        <v>29</v>
      </c>
      <c r="B27" s="13">
        <f>L10</f>
        <v>0</v>
      </c>
      <c r="C27" s="16">
        <v>0</v>
      </c>
      <c r="D27" s="28">
        <f>IFERROR(C27/B27,0)</f>
        <v>0</v>
      </c>
      <c r="E27" s="33">
        <f>SUM(E18:E25)</f>
        <v>14165.3</v>
      </c>
      <c r="F27" s="30"/>
      <c r="G27" s="30">
        <f t="shared" si="2"/>
        <v>0</v>
      </c>
      <c r="H27" s="8"/>
      <c r="J27" s="6"/>
      <c r="K27" s="8"/>
    </row>
    <row r="28" spans="1:11" x14ac:dyDescent="0.3">
      <c r="A28" s="35" t="str">
        <f>A11</f>
        <v>Total</v>
      </c>
      <c r="B28" s="37">
        <f>SUM(B19:B26)</f>
        <v>44950.47</v>
      </c>
      <c r="C28" s="14">
        <f>SUM(C19:C26)</f>
        <v>11408.069999999998</v>
      </c>
      <c r="D28" s="29">
        <f>C28/B28</f>
        <v>0.25379200706911403</v>
      </c>
      <c r="E28" s="38">
        <f>SUM(E19:E26)</f>
        <v>15059.17</v>
      </c>
      <c r="F28" s="31">
        <f>SUM(F19:F26)</f>
        <v>758.28</v>
      </c>
      <c r="G28" s="31">
        <f>SUM(G19:G26)</f>
        <v>12166.35</v>
      </c>
      <c r="H28" s="8"/>
      <c r="J28" s="6"/>
      <c r="K28" s="8"/>
    </row>
    <row r="29" spans="1:11" x14ac:dyDescent="0.3">
      <c r="A29" s="49"/>
      <c r="B29" s="17" t="s">
        <v>30</v>
      </c>
      <c r="C29" s="18" t="s">
        <v>31</v>
      </c>
      <c r="D29" s="19" t="str">
        <f>D18</f>
        <v>% Realizado</v>
      </c>
      <c r="F29" s="7"/>
    </row>
    <row r="30" spans="1:11" x14ac:dyDescent="0.3">
      <c r="A30" s="12" t="s">
        <v>32</v>
      </c>
      <c r="B30" s="14">
        <f>D11</f>
        <v>937200</v>
      </c>
      <c r="C30" s="14">
        <f>C28+F11</f>
        <v>454152.85000000003</v>
      </c>
      <c r="D30" s="15">
        <f>C30/B30</f>
        <v>0.48458477379428089</v>
      </c>
      <c r="E30" s="7"/>
      <c r="F30" s="7"/>
    </row>
    <row r="31" spans="1:11" x14ac:dyDescent="0.3">
      <c r="C31" s="7"/>
      <c r="E31" s="7"/>
      <c r="F31" s="7"/>
    </row>
    <row r="32" spans="1:11" x14ac:dyDescent="0.3">
      <c r="C32" s="7"/>
      <c r="G32" s="6"/>
    </row>
    <row r="33" spans="3:5" x14ac:dyDescent="0.3">
      <c r="C33" s="9"/>
    </row>
    <row r="34" spans="3:5" x14ac:dyDescent="0.3">
      <c r="C34" s="7"/>
      <c r="D34" s="23"/>
      <c r="E34" s="7"/>
    </row>
    <row r="37" spans="3:5" x14ac:dyDescent="0.3">
      <c r="C37" s="50"/>
      <c r="E37" s="46"/>
    </row>
  </sheetData>
  <pageMargins left="0.78740157499999996" right="0.78740157499999996" top="0.984251969" bottom="0.984251969" header="0.4921259845" footer="0.4921259845"/>
  <pageSetup paperSize="9" orientation="portrait"/>
  <ignoredErrors>
    <ignoredError sqref="E19:E26" calculatedColumn="1"/>
    <ignoredError sqref="C28:D28" formulaRange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H11"/>
  <sheetViews>
    <sheetView showGridLines="0" workbookViewId="0">
      <pane ySplit="1" topLeftCell="A2" activePane="bottomLeft" state="frozen"/>
      <selection pane="bottomLeft" activeCell="E22" sqref="E22"/>
    </sheetView>
  </sheetViews>
  <sheetFormatPr defaultRowHeight="14.4" x14ac:dyDescent="0.3"/>
  <cols>
    <col min="2" max="2" width="8.88671875" style="6" customWidth="1"/>
    <col min="3" max="3" width="14.44140625" style="6" customWidth="1"/>
    <col min="4" max="4" width="17.33203125" style="6" bestFit="1" customWidth="1"/>
    <col min="5" max="5" width="19.33203125" style="6" bestFit="1" customWidth="1"/>
    <col min="6" max="6" width="17.33203125" style="6" customWidth="1"/>
    <col min="7" max="7" width="15" style="6" bestFit="1" customWidth="1"/>
    <col min="8" max="8" width="11.44140625" customWidth="1"/>
  </cols>
  <sheetData>
    <row r="1" spans="1:8" x14ac:dyDescent="0.3">
      <c r="A1" s="3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</row>
    <row r="2" spans="1:8" x14ac:dyDescent="0.3">
      <c r="A2" s="4">
        <v>202609</v>
      </c>
      <c r="B2" s="6" t="str">
        <f>base!A2</f>
        <v>01-SCR</v>
      </c>
      <c r="C2" s="7">
        <f>base!D2</f>
        <v>118900</v>
      </c>
      <c r="D2" s="7">
        <f>base!F2</f>
        <v>41463.480000000003</v>
      </c>
      <c r="E2" s="8">
        <f t="shared" ref="E2:E11" si="0">D2/C2</f>
        <v>0.34872565180824222</v>
      </c>
      <c r="F2" s="24">
        <f>(base!J2)</f>
        <v>0.62270000000000003</v>
      </c>
      <c r="G2" s="9">
        <f t="shared" ref="G2:G11" si="1">C2*F2</f>
        <v>74039.03</v>
      </c>
      <c r="H2" s="25">
        <f>base!K2</f>
        <v>0.48930000000000001</v>
      </c>
    </row>
    <row r="3" spans="1:8" x14ac:dyDescent="0.3">
      <c r="A3" s="4">
        <v>202609</v>
      </c>
      <c r="B3" s="6" t="str">
        <f>base!A3</f>
        <v>05-TUC</v>
      </c>
      <c r="C3" s="7">
        <f>base!D3</f>
        <v>105500</v>
      </c>
      <c r="D3" s="7">
        <f>base!F3</f>
        <v>34316.629999999997</v>
      </c>
      <c r="E3" s="8">
        <f t="shared" si="0"/>
        <v>0.32527611374407578</v>
      </c>
      <c r="F3" s="24">
        <f>(base!J3)</f>
        <v>0.58090000000000008</v>
      </c>
      <c r="G3" s="9">
        <f t="shared" si="1"/>
        <v>61284.950000000012</v>
      </c>
      <c r="H3" s="25">
        <f>base!K3</f>
        <v>0.58289999999999997</v>
      </c>
    </row>
    <row r="4" spans="1:8" x14ac:dyDescent="0.3">
      <c r="A4" s="4">
        <v>202609</v>
      </c>
      <c r="B4" s="6" t="str">
        <f>base!A4</f>
        <v>09-SPM</v>
      </c>
      <c r="C4" s="7">
        <f>base!D4</f>
        <v>105500</v>
      </c>
      <c r="D4" s="7">
        <f>base!F4</f>
        <v>31936.48</v>
      </c>
      <c r="E4" s="8">
        <f t="shared" si="0"/>
        <v>0.30271545023696683</v>
      </c>
      <c r="F4" s="24">
        <f>(base!J4)</f>
        <v>0.54059999999999997</v>
      </c>
      <c r="G4" s="9">
        <f t="shared" si="1"/>
        <v>57033.299999999996</v>
      </c>
      <c r="H4" s="25">
        <f>base!K4</f>
        <v>0.57789999999999997</v>
      </c>
    </row>
    <row r="5" spans="1:8" x14ac:dyDescent="0.3">
      <c r="A5" s="4">
        <v>202609</v>
      </c>
      <c r="B5" s="6" t="str">
        <f>base!A5</f>
        <v>10-CMI</v>
      </c>
      <c r="C5" s="7">
        <f>base!D5</f>
        <v>112900</v>
      </c>
      <c r="D5" s="7">
        <f>base!F5</f>
        <v>45625.8</v>
      </c>
      <c r="E5" s="8">
        <f t="shared" si="0"/>
        <v>0.40412577502214353</v>
      </c>
      <c r="F5" s="24">
        <f>(base!J5)</f>
        <v>0.72170000000000001</v>
      </c>
      <c r="G5" s="9">
        <f t="shared" si="1"/>
        <v>81479.930000000008</v>
      </c>
      <c r="H5" s="25">
        <f>base!K5</f>
        <v>0.5716</v>
      </c>
    </row>
    <row r="6" spans="1:8" x14ac:dyDescent="0.3">
      <c r="A6" s="4">
        <v>202609</v>
      </c>
      <c r="B6" s="6" t="str">
        <f>base!A6</f>
        <v>11-CAT</v>
      </c>
      <c r="C6" s="7">
        <f>base!D6</f>
        <v>154500</v>
      </c>
      <c r="D6" s="7">
        <f>base!F6</f>
        <v>98209.45</v>
      </c>
      <c r="E6" s="8">
        <f t="shared" si="0"/>
        <v>0.63565987055016182</v>
      </c>
      <c r="F6" s="24">
        <f>(base!J6)</f>
        <v>1.1351</v>
      </c>
      <c r="G6" s="9">
        <f t="shared" si="1"/>
        <v>175372.95</v>
      </c>
      <c r="H6" s="25">
        <f>base!K6</f>
        <v>0.57669999999999999</v>
      </c>
    </row>
    <row r="7" spans="1:8" x14ac:dyDescent="0.3">
      <c r="A7" s="4">
        <v>202609</v>
      </c>
      <c r="B7" s="6" t="str">
        <f>base!A7</f>
        <v>13-GMI</v>
      </c>
      <c r="C7" s="7">
        <f>base!D7</f>
        <v>105500</v>
      </c>
      <c r="D7" s="7">
        <f>base!F7</f>
        <v>50002.54</v>
      </c>
      <c r="E7" s="8">
        <f t="shared" si="0"/>
        <v>0.47395772511848344</v>
      </c>
      <c r="F7" s="24">
        <f>(base!J7)</f>
        <v>0.84640000000000004</v>
      </c>
      <c r="G7" s="9">
        <f t="shared" si="1"/>
        <v>89295.2</v>
      </c>
      <c r="H7" s="25">
        <f>base!K7</f>
        <v>0.58460000000000001</v>
      </c>
    </row>
    <row r="8" spans="1:8" x14ac:dyDescent="0.3">
      <c r="A8" s="4">
        <v>202609</v>
      </c>
      <c r="B8" s="6" t="str">
        <f>base!A8</f>
        <v>16-DMC</v>
      </c>
      <c r="C8" s="7">
        <f>base!D8</f>
        <v>112900</v>
      </c>
      <c r="D8" s="7">
        <f>base!F8</f>
        <v>62276.37</v>
      </c>
      <c r="E8" s="8">
        <f t="shared" si="0"/>
        <v>0.55160646589902573</v>
      </c>
      <c r="F8" s="24">
        <f>(base!J8)</f>
        <v>0.98499999999999999</v>
      </c>
      <c r="G8" s="9">
        <f t="shared" si="1"/>
        <v>111206.5</v>
      </c>
      <c r="H8" s="25">
        <f>base!K8</f>
        <v>0.57509999999999994</v>
      </c>
    </row>
    <row r="9" spans="1:8" x14ac:dyDescent="0.3">
      <c r="A9" s="4">
        <v>202609</v>
      </c>
      <c r="B9" s="6" t="str">
        <f>base!A9</f>
        <v>17-RGO</v>
      </c>
      <c r="C9" s="7">
        <f>base!D9</f>
        <v>121500</v>
      </c>
      <c r="D9" s="7">
        <f>base!F9</f>
        <v>78914.03</v>
      </c>
      <c r="E9" s="8">
        <f t="shared" si="0"/>
        <v>0.64949818930041148</v>
      </c>
      <c r="F9" s="24">
        <f>(base!J9)</f>
        <v>1.1597999999999999</v>
      </c>
      <c r="G9" s="9">
        <f t="shared" si="1"/>
        <v>140915.69999999998</v>
      </c>
      <c r="H9" s="25">
        <f>base!K9</f>
        <v>0.57469999999999999</v>
      </c>
    </row>
    <row r="10" spans="1:8" hidden="1" x14ac:dyDescent="0.3">
      <c r="A10" s="4">
        <v>202609</v>
      </c>
      <c r="B10" s="6" t="str">
        <f>base!A10</f>
        <v>99-MTZ</v>
      </c>
      <c r="C10" s="7">
        <f>base!D10</f>
        <v>0</v>
      </c>
      <c r="D10" s="7">
        <f>base!F10</f>
        <v>0</v>
      </c>
      <c r="E10" s="8" t="e">
        <f t="shared" si="0"/>
        <v>#DIV/0!</v>
      </c>
      <c r="F10" s="24">
        <f>(base!J10)</f>
        <v>0</v>
      </c>
      <c r="G10" s="9">
        <f t="shared" si="1"/>
        <v>0</v>
      </c>
      <c r="H10" s="25">
        <f>base!K10</f>
        <v>0</v>
      </c>
    </row>
    <row r="11" spans="1:8" x14ac:dyDescent="0.3">
      <c r="A11" s="4">
        <v>202609</v>
      </c>
      <c r="B11" s="6" t="str">
        <f>base!A11</f>
        <v>Total</v>
      </c>
      <c r="C11" s="7">
        <f>SUM(C1:C10)</f>
        <v>937200</v>
      </c>
      <c r="D11" s="7">
        <f>SUM(D1:D10)</f>
        <v>442744.78</v>
      </c>
      <c r="E11" s="8">
        <f t="shared" si="0"/>
        <v>0.47241227059325652</v>
      </c>
      <c r="F11" s="8">
        <f>base!J12</f>
        <v>0.84359334186939827</v>
      </c>
      <c r="G11" s="9">
        <f t="shared" si="1"/>
        <v>790615.68</v>
      </c>
      <c r="H11" s="2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H11"/>
  <sheetViews>
    <sheetView showGridLines="0"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2" max="2" width="14.44140625" style="6" customWidth="1"/>
    <col min="3" max="3" width="17.33203125" style="6" bestFit="1" customWidth="1"/>
    <col min="4" max="4" width="19.33203125" style="6" bestFit="1" customWidth="1"/>
    <col min="5" max="5" width="13.88671875" style="6" customWidth="1"/>
    <col min="6" max="6" width="14.6640625" bestFit="1" customWidth="1"/>
  </cols>
  <sheetData>
    <row r="1" spans="1:8" x14ac:dyDescent="0.3">
      <c r="A1" s="3" t="s">
        <v>33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1" t="s">
        <v>10</v>
      </c>
      <c r="H1" s="5" t="s">
        <v>40</v>
      </c>
    </row>
    <row r="2" spans="1:8" x14ac:dyDescent="0.3">
      <c r="A2" s="4">
        <v>202609</v>
      </c>
      <c r="B2" s="7">
        <f>base!L12</f>
        <v>44950.47</v>
      </c>
      <c r="C2" s="10">
        <f>base!C28</f>
        <v>11408.069999999998</v>
      </c>
      <c r="D2" s="8">
        <f>IFERROR(C2/B2,0)</f>
        <v>0.25379200706911403</v>
      </c>
      <c r="E2" s="7">
        <f>B2-C2</f>
        <v>33542.400000000001</v>
      </c>
      <c r="F2" s="11">
        <f>base!F12-base!D12</f>
        <v>-494455.22</v>
      </c>
      <c r="G2" s="21" t="str">
        <f>(base!K12)&amp;H1</f>
        <v>%</v>
      </c>
    </row>
    <row r="3" spans="1:8" x14ac:dyDescent="0.3">
      <c r="A3" s="4"/>
      <c r="B3" s="7"/>
      <c r="C3" s="7"/>
      <c r="D3" s="8"/>
    </row>
    <row r="4" spans="1:8" x14ac:dyDescent="0.3">
      <c r="A4" s="4"/>
      <c r="B4" s="7"/>
      <c r="C4" s="7"/>
      <c r="D4" s="8"/>
    </row>
    <row r="5" spans="1:8" x14ac:dyDescent="0.3">
      <c r="A5" s="4"/>
      <c r="B5" s="7"/>
      <c r="C5" s="7"/>
      <c r="D5" s="8"/>
    </row>
    <row r="6" spans="1:8" x14ac:dyDescent="0.3">
      <c r="A6" s="4"/>
      <c r="B6" s="7"/>
      <c r="C6" s="7"/>
      <c r="D6" s="8"/>
    </row>
    <row r="7" spans="1:8" x14ac:dyDescent="0.3">
      <c r="A7" s="4"/>
      <c r="B7" s="7"/>
      <c r="C7" s="7"/>
      <c r="D7" s="8"/>
    </row>
    <row r="8" spans="1:8" x14ac:dyDescent="0.3">
      <c r="A8" s="4"/>
      <c r="B8" s="7"/>
      <c r="C8" s="7"/>
      <c r="D8" s="8"/>
    </row>
    <row r="9" spans="1:8" x14ac:dyDescent="0.3">
      <c r="A9" s="4"/>
      <c r="B9" s="7"/>
      <c r="C9" s="7"/>
      <c r="D9" s="8"/>
    </row>
    <row r="10" spans="1:8" x14ac:dyDescent="0.3">
      <c r="A10" s="4"/>
      <c r="B10" s="7"/>
      <c r="C10" s="7"/>
      <c r="D10" s="8"/>
    </row>
    <row r="11" spans="1:8" x14ac:dyDescent="0.3">
      <c r="A11" s="4"/>
      <c r="B11" s="7"/>
      <c r="C11" s="7"/>
      <c r="D11" s="8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12f9d3-8460-4672-9bb3-c98df481edea">
      <Terms xmlns="http://schemas.microsoft.com/office/infopath/2007/PartnerControls"/>
    </lcf76f155ced4ddcb4097134ff3c332f>
    <TaxCatchAll xmlns="671776c5-29b2-438f-93e2-4095a37821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A8E10B-CEB2-4D19-A703-BF241B1D1C51}">
  <ds:schemaRefs>
    <ds:schemaRef ds:uri="http://schemas.microsoft.com/office/2006/metadata/properties"/>
    <ds:schemaRef ds:uri="http://schemas.microsoft.com/office/infopath/2007/PartnerControls"/>
    <ds:schemaRef ds:uri="fb12f9d3-8460-4672-9bb3-c98df481edea"/>
    <ds:schemaRef ds:uri="671776c5-29b2-438f-93e2-4095a3782164"/>
  </ds:schemaRefs>
</ds:datastoreItem>
</file>

<file path=customXml/itemProps2.xml><?xml version="1.0" encoding="utf-8"?>
<ds:datastoreItem xmlns:ds="http://schemas.openxmlformats.org/officeDocument/2006/customXml" ds:itemID="{3E8FCF82-E4CB-405C-99BC-36062A17CC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5AD6A9-9222-4CE2-A1BD-B5157D4969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776c5-29b2-438f-93e2-4095a3782164"/>
    <ds:schemaRef ds:uri="fb12f9d3-8460-4672-9bb3-c98df481e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Venda_Lojas_Hoje</vt:lpstr>
      <vt:lpstr>venda_lojas_hoje_dia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LOJASHOJE</dc:creator>
  <cp:lastModifiedBy>JUNIOR MAIA MULLER</cp:lastModifiedBy>
  <dcterms:created xsi:type="dcterms:W3CDTF">2025-02-21T19:37:48Z</dcterms:created>
  <dcterms:modified xsi:type="dcterms:W3CDTF">2026-10-16T18:16:56Z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